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CRAPING DATA IDX YAHOO FINANCE GOOGLE COLAB\SEKTOR ENERGI\PAPER TOPIK ANTM\"/>
    </mc:Choice>
  </mc:AlternateContent>
  <xr:revisionPtr revIDLastSave="0" documentId="13_ncr:1_{EFBA57D3-3735-4FCB-8CBF-24838F3906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orical Pr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2" i="1" l="1"/>
  <c r="T63" i="1"/>
  <c r="T64" i="1"/>
  <c r="T65" i="1"/>
  <c r="T66" i="1"/>
  <c r="T67" i="1"/>
  <c r="T61" i="1"/>
  <c r="T54" i="1"/>
  <c r="T55" i="1"/>
  <c r="T56" i="1"/>
  <c r="T57" i="1"/>
  <c r="T58" i="1"/>
  <c r="T59" i="1"/>
  <c r="T60" i="1"/>
  <c r="T47" i="1"/>
  <c r="T53" i="1"/>
  <c r="T48" i="1"/>
  <c r="T49" i="1"/>
  <c r="T50" i="1"/>
  <c r="T51" i="1"/>
  <c r="T5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3" i="1"/>
  <c r="M2" i="1"/>
  <c r="L2" i="1"/>
  <c r="N2" i="1" s="1"/>
  <c r="S30" i="1"/>
  <c r="S31" i="1"/>
  <c r="S32" i="1"/>
  <c r="S33" i="1"/>
  <c r="S34" i="1"/>
  <c r="S35" i="1"/>
  <c r="S29" i="1"/>
  <c r="K3" i="1"/>
  <c r="M3" i="1" s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M28" i="1" s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M50" i="1" s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M69" i="1" s="1"/>
  <c r="K70" i="1"/>
  <c r="K71" i="1"/>
  <c r="K72" i="1"/>
  <c r="K73" i="1"/>
  <c r="K74" i="1"/>
  <c r="K75" i="1"/>
  <c r="K76" i="1"/>
  <c r="K77" i="1"/>
  <c r="K78" i="1"/>
  <c r="K79" i="1"/>
  <c r="M79" i="1" s="1"/>
  <c r="K80" i="1"/>
  <c r="K81" i="1"/>
  <c r="M81" i="1" s="1"/>
  <c r="K82" i="1"/>
  <c r="K83" i="1"/>
  <c r="K84" i="1"/>
  <c r="K85" i="1"/>
  <c r="K86" i="1"/>
  <c r="K87" i="1"/>
  <c r="K88" i="1"/>
  <c r="K89" i="1"/>
  <c r="M89" i="1" s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M110" i="1" s="1"/>
  <c r="K111" i="1"/>
  <c r="K112" i="1"/>
  <c r="M112" i="1" s="1"/>
  <c r="K113" i="1"/>
  <c r="M113" i="1" s="1"/>
  <c r="K114" i="1"/>
  <c r="M114" i="1" s="1"/>
  <c r="K115" i="1"/>
  <c r="M115" i="1" s="1"/>
  <c r="K116" i="1"/>
  <c r="M116" i="1" s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U6" i="1" l="1" a="1"/>
  <c r="U6" i="1" s="1"/>
  <c r="L1161" i="1" s="1"/>
  <c r="U7" i="1" a="1"/>
  <c r="U7" i="1" s="1"/>
  <c r="U9" i="1" a="1"/>
  <c r="U9" i="1" s="1"/>
  <c r="U8" i="1" a="1"/>
  <c r="U8" i="1" s="1"/>
  <c r="M1036" i="1" s="1"/>
  <c r="M119" i="1" l="1"/>
  <c r="M287" i="1"/>
  <c r="M443" i="1"/>
  <c r="M599" i="1"/>
  <c r="M755" i="1"/>
  <c r="M911" i="1"/>
  <c r="M1067" i="1"/>
  <c r="M1223" i="1"/>
  <c r="M1379" i="1"/>
  <c r="M48" i="1"/>
  <c r="M204" i="1"/>
  <c r="M360" i="1"/>
  <c r="M528" i="1"/>
  <c r="M684" i="1"/>
  <c r="M840" i="1"/>
  <c r="M996" i="1"/>
  <c r="M1152" i="1"/>
  <c r="M1320" i="1"/>
  <c r="M97" i="1"/>
  <c r="M253" i="1"/>
  <c r="M409" i="1"/>
  <c r="M565" i="1"/>
  <c r="M38" i="1"/>
  <c r="M27" i="1"/>
  <c r="M64" i="1"/>
  <c r="M232" i="1"/>
  <c r="M5" i="1"/>
  <c r="M185" i="1"/>
  <c r="M341" i="1"/>
  <c r="M497" i="1"/>
  <c r="M653" i="1"/>
  <c r="M821" i="1"/>
  <c r="M1001" i="1"/>
  <c r="M1169" i="1"/>
  <c r="M1337" i="1"/>
  <c r="M1529" i="1"/>
  <c r="L53" i="1"/>
  <c r="L257" i="1"/>
  <c r="M234" i="1"/>
  <c r="M438" i="1"/>
  <c r="M678" i="1"/>
  <c r="M942" i="1"/>
  <c r="M1218" i="1"/>
  <c r="M1434" i="1"/>
  <c r="M199" i="1"/>
  <c r="M463" i="1"/>
  <c r="M667" i="1"/>
  <c r="M931" i="1"/>
  <c r="M1195" i="1"/>
  <c r="M1459" i="1"/>
  <c r="M212" i="1"/>
  <c r="M476" i="1"/>
  <c r="M740" i="1"/>
  <c r="M944" i="1"/>
  <c r="M1208" i="1"/>
  <c r="M1472" i="1"/>
  <c r="M21" i="1"/>
  <c r="M249" i="1"/>
  <c r="M513" i="1"/>
  <c r="M777" i="1"/>
  <c r="M981" i="1"/>
  <c r="M214" i="1"/>
  <c r="M1619" i="1"/>
  <c r="L191" i="1"/>
  <c r="M1584" i="1"/>
  <c r="M218" i="1"/>
  <c r="M566" i="1"/>
  <c r="M543" i="1"/>
  <c r="M975" i="1"/>
  <c r="L611" i="1"/>
  <c r="L1043" i="1"/>
  <c r="N1043" i="1" s="1"/>
  <c r="L1475" i="1"/>
  <c r="L336" i="1"/>
  <c r="L912" i="1"/>
  <c r="L1488" i="1"/>
  <c r="M1177" i="1"/>
  <c r="L49" i="1"/>
  <c r="M746" i="1"/>
  <c r="M1466" i="1"/>
  <c r="L831" i="1"/>
  <c r="L174" i="1"/>
  <c r="L1106" i="1"/>
  <c r="N1106" i="1" s="1"/>
  <c r="L965" i="1"/>
  <c r="N965" i="1" s="1"/>
  <c r="L1694" i="1"/>
  <c r="M143" i="1"/>
  <c r="M299" i="1"/>
  <c r="M455" i="1"/>
  <c r="M611" i="1"/>
  <c r="M767" i="1"/>
  <c r="M923" i="1"/>
  <c r="M1079" i="1"/>
  <c r="M1235" i="1"/>
  <c r="M1391" i="1"/>
  <c r="M60" i="1"/>
  <c r="M216" i="1"/>
  <c r="M384" i="1"/>
  <c r="M540" i="1"/>
  <c r="M696" i="1"/>
  <c r="M852" i="1"/>
  <c r="M1008" i="1"/>
  <c r="M1164" i="1"/>
  <c r="M1332" i="1"/>
  <c r="M109" i="1"/>
  <c r="M265" i="1"/>
  <c r="M421" i="1"/>
  <c r="M577" i="1"/>
  <c r="M74" i="1"/>
  <c r="M39" i="1"/>
  <c r="M76" i="1"/>
  <c r="M244" i="1"/>
  <c r="M17" i="1"/>
  <c r="M197" i="1"/>
  <c r="M353" i="1"/>
  <c r="M509" i="1"/>
  <c r="M665" i="1"/>
  <c r="M833" i="1"/>
  <c r="M1013" i="1"/>
  <c r="M1181" i="1"/>
  <c r="M1349" i="1"/>
  <c r="M1577" i="1"/>
  <c r="L65" i="1"/>
  <c r="M42" i="1"/>
  <c r="M246" i="1"/>
  <c r="M486" i="1"/>
  <c r="M690" i="1"/>
  <c r="M954" i="1"/>
  <c r="M1230" i="1"/>
  <c r="M1446" i="1"/>
  <c r="M211" i="1"/>
  <c r="M475" i="1"/>
  <c r="M739" i="1"/>
  <c r="M943" i="1"/>
  <c r="M1207" i="1"/>
  <c r="M8" i="1"/>
  <c r="M224" i="1"/>
  <c r="M488" i="1"/>
  <c r="M752" i="1"/>
  <c r="M1016" i="1"/>
  <c r="M1220" i="1"/>
  <c r="M1484" i="1"/>
  <c r="M33" i="1"/>
  <c r="M261" i="1"/>
  <c r="M525" i="1"/>
  <c r="M789" i="1"/>
  <c r="M22" i="1"/>
  <c r="M226" i="1"/>
  <c r="M1631" i="1"/>
  <c r="L203" i="1"/>
  <c r="M1596" i="1"/>
  <c r="M230" i="1"/>
  <c r="M578" i="1"/>
  <c r="M555" i="1"/>
  <c r="M987" i="1"/>
  <c r="L623" i="1"/>
  <c r="L1055" i="1"/>
  <c r="N1055" i="1" s="1"/>
  <c r="L1487" i="1"/>
  <c r="L408" i="1"/>
  <c r="L984" i="1"/>
  <c r="N984" i="1" s="1"/>
  <c r="L1560" i="1"/>
  <c r="M1249" i="1"/>
  <c r="L121" i="1"/>
  <c r="N121" i="1" s="1"/>
  <c r="M818" i="1"/>
  <c r="M1538" i="1"/>
  <c r="L987" i="1"/>
  <c r="L342" i="1"/>
  <c r="L1310" i="1"/>
  <c r="L1373" i="1"/>
  <c r="N1373" i="1" s="1"/>
  <c r="L393" i="1"/>
  <c r="M107" i="1"/>
  <c r="M743" i="1"/>
  <c r="M1367" i="1"/>
  <c r="M504" i="1"/>
  <c r="M1140" i="1"/>
  <c r="M397" i="1"/>
  <c r="M206" i="1"/>
  <c r="M173" i="1"/>
  <c r="M809" i="1"/>
  <c r="M1505" i="1"/>
  <c r="M414" i="1"/>
  <c r="M1422" i="1"/>
  <c r="M919" i="1"/>
  <c r="M200" i="1"/>
  <c r="M728" i="1"/>
  <c r="M1664" i="1"/>
  <c r="M765" i="1"/>
  <c r="L179" i="1"/>
  <c r="M495" i="1"/>
  <c r="L1427" i="1"/>
  <c r="M1165" i="1"/>
  <c r="M1394" i="1"/>
  <c r="M1698" i="1"/>
  <c r="M467" i="1"/>
  <c r="M1403" i="1"/>
  <c r="M121" i="1"/>
  <c r="M29" i="1"/>
  <c r="M1025" i="1"/>
  <c r="M1589" i="1"/>
  <c r="M54" i="1"/>
  <c r="M498" i="1"/>
  <c r="M487" i="1"/>
  <c r="M955" i="1"/>
  <c r="M20" i="1"/>
  <c r="M500" i="1"/>
  <c r="M1028" i="1"/>
  <c r="M1496" i="1"/>
  <c r="M333" i="1"/>
  <c r="M801" i="1"/>
  <c r="M238" i="1"/>
  <c r="L239" i="1"/>
  <c r="M195" i="1"/>
  <c r="M1059" i="1"/>
  <c r="L1127" i="1"/>
  <c r="L468" i="1"/>
  <c r="L1632" i="1"/>
  <c r="N1632" i="1" s="1"/>
  <c r="L181" i="1"/>
  <c r="N181" i="1" s="1"/>
  <c r="M1682" i="1"/>
  <c r="M1471" i="1"/>
  <c r="L1574" i="1"/>
  <c r="L1674" i="1"/>
  <c r="M431" i="1"/>
  <c r="M1055" i="1"/>
  <c r="M192" i="1"/>
  <c r="M984" i="1"/>
  <c r="M241" i="1"/>
  <c r="M52" i="1"/>
  <c r="M329" i="1"/>
  <c r="M977" i="1"/>
  <c r="L41" i="1"/>
  <c r="M666" i="1"/>
  <c r="M451" i="1"/>
  <c r="M1387" i="1"/>
  <c r="M1196" i="1"/>
  <c r="M501" i="1"/>
  <c r="M1607" i="1"/>
  <c r="M518" i="1"/>
  <c r="L995" i="1"/>
  <c r="L1476" i="1"/>
  <c r="N1476" i="1" s="1"/>
  <c r="L37" i="1"/>
  <c r="N37" i="1" s="1"/>
  <c r="L842" i="1"/>
  <c r="N842" i="1" s="1"/>
  <c r="M311" i="1"/>
  <c r="M1247" i="1"/>
  <c r="M864" i="1"/>
  <c r="M601" i="1"/>
  <c r="M209" i="1"/>
  <c r="M1361" i="1"/>
  <c r="L77" i="1"/>
  <c r="M258" i="1"/>
  <c r="M702" i="1"/>
  <c r="M751" i="1"/>
  <c r="M1219" i="1"/>
  <c r="M296" i="1"/>
  <c r="M764" i="1"/>
  <c r="M1232" i="1"/>
  <c r="M45" i="1"/>
  <c r="M537" i="1"/>
  <c r="M34" i="1"/>
  <c r="M1643" i="1"/>
  <c r="M1668" i="1"/>
  <c r="M242" i="1"/>
  <c r="M627" i="1"/>
  <c r="L695" i="1"/>
  <c r="L1559" i="1"/>
  <c r="L1044" i="1"/>
  <c r="N1044" i="1" s="1"/>
  <c r="M1309" i="1"/>
  <c r="M878" i="1"/>
  <c r="L1143" i="1"/>
  <c r="L1672" i="1"/>
  <c r="M11" i="1"/>
  <c r="M167" i="1"/>
  <c r="M323" i="1"/>
  <c r="M479" i="1"/>
  <c r="M635" i="1"/>
  <c r="M791" i="1"/>
  <c r="M947" i="1"/>
  <c r="M1103" i="1"/>
  <c r="M1259" i="1"/>
  <c r="M1415" i="1"/>
  <c r="M96" i="1"/>
  <c r="M252" i="1"/>
  <c r="M408" i="1"/>
  <c r="M564" i="1"/>
  <c r="M720" i="1"/>
  <c r="M876" i="1"/>
  <c r="M1032" i="1"/>
  <c r="M1188" i="1"/>
  <c r="M1356" i="1"/>
  <c r="M133" i="1"/>
  <c r="M289" i="1"/>
  <c r="M457" i="1"/>
  <c r="M613" i="1"/>
  <c r="M98" i="1"/>
  <c r="M63" i="1"/>
  <c r="M100" i="1"/>
  <c r="M268" i="1"/>
  <c r="M41" i="1"/>
  <c r="M221" i="1"/>
  <c r="M377" i="1"/>
  <c r="M533" i="1"/>
  <c r="M689" i="1"/>
  <c r="M869" i="1"/>
  <c r="M1037" i="1"/>
  <c r="M1205" i="1"/>
  <c r="M1385" i="1"/>
  <c r="M1601" i="1"/>
  <c r="L89" i="1"/>
  <c r="N89" i="1" s="1"/>
  <c r="M66" i="1"/>
  <c r="M270" i="1"/>
  <c r="M510" i="1"/>
  <c r="M774" i="1"/>
  <c r="M978" i="1"/>
  <c r="M1254" i="1"/>
  <c r="M7" i="1"/>
  <c r="M235" i="1"/>
  <c r="M499" i="1"/>
  <c r="M763" i="1"/>
  <c r="M1027" i="1"/>
  <c r="M1231" i="1"/>
  <c r="M32" i="1"/>
  <c r="M308" i="1"/>
  <c r="M512" i="1"/>
  <c r="M776" i="1"/>
  <c r="M1040" i="1"/>
  <c r="M1304" i="1"/>
  <c r="M1508" i="1"/>
  <c r="M57" i="1"/>
  <c r="M345" i="1"/>
  <c r="M549" i="1"/>
  <c r="M813" i="1"/>
  <c r="M46" i="1"/>
  <c r="M310" i="1"/>
  <c r="M1655" i="1"/>
  <c r="L251" i="1"/>
  <c r="M1680" i="1"/>
  <c r="M278" i="1"/>
  <c r="M207" i="1"/>
  <c r="M639" i="1"/>
  <c r="M1071" i="1"/>
  <c r="L707" i="1"/>
  <c r="L1139" i="1"/>
  <c r="L1571" i="1"/>
  <c r="N1571" i="1" s="1"/>
  <c r="L480" i="1"/>
  <c r="L1056" i="1"/>
  <c r="L1656" i="1"/>
  <c r="M1321" i="1"/>
  <c r="L193" i="1"/>
  <c r="N193" i="1" s="1"/>
  <c r="M890" i="1"/>
  <c r="M1119" i="1"/>
  <c r="L1299" i="1"/>
  <c r="M1639" i="1"/>
  <c r="L1695" i="1"/>
  <c r="L918" i="1"/>
  <c r="L1666" i="1"/>
  <c r="L526" i="1"/>
  <c r="L1197" i="1"/>
  <c r="L357" i="1"/>
  <c r="L1573" i="1"/>
  <c r="L214" i="1"/>
  <c r="N214" i="1" s="1"/>
  <c r="L825" i="1"/>
  <c r="N825" i="1" s="1"/>
  <c r="L550" i="1"/>
  <c r="N550" i="1" s="1"/>
  <c r="L862" i="1"/>
  <c r="L418" i="1"/>
  <c r="L1510" i="1"/>
  <c r="L1294" i="1"/>
  <c r="L262" i="1"/>
  <c r="L1089" i="1"/>
  <c r="L309" i="1"/>
  <c r="L1138" i="1"/>
  <c r="L34" i="1"/>
  <c r="L1653" i="1"/>
  <c r="N1653" i="1" s="1"/>
  <c r="L741" i="1"/>
  <c r="N741" i="1" s="1"/>
  <c r="L21" i="1"/>
  <c r="N21" i="1" s="1"/>
  <c r="L1664" i="1"/>
  <c r="L1280" i="1"/>
  <c r="L944" i="1"/>
  <c r="N944" i="1" s="1"/>
  <c r="L1639" i="1"/>
  <c r="N1639" i="1" s="1"/>
  <c r="L1459" i="1"/>
  <c r="N1459" i="1" s="1"/>
  <c r="L58" i="1"/>
  <c r="L693" i="1"/>
  <c r="L1688" i="1"/>
  <c r="L1016" i="1"/>
  <c r="L1456" i="1"/>
  <c r="L46" i="1"/>
  <c r="N46" i="1" s="1"/>
  <c r="L753" i="1"/>
  <c r="L1700" i="1"/>
  <c r="L980" i="1"/>
  <c r="L1540" i="1"/>
  <c r="L598" i="1"/>
  <c r="L1185" i="1"/>
  <c r="N1185" i="1" s="1"/>
  <c r="L129" i="1"/>
  <c r="L1376" i="1"/>
  <c r="L1627" i="1"/>
  <c r="L1646" i="1"/>
  <c r="L1393" i="1"/>
  <c r="N1393" i="1" s="1"/>
  <c r="L1249" i="1"/>
  <c r="L1105" i="1"/>
  <c r="N1105" i="1" s="1"/>
  <c r="L961" i="1"/>
  <c r="L817" i="1"/>
  <c r="L673" i="1"/>
  <c r="L529" i="1"/>
  <c r="L1405" i="1"/>
  <c r="N1405" i="1" s="1"/>
  <c r="L584" i="1"/>
  <c r="L440" i="1"/>
  <c r="L296" i="1"/>
  <c r="L152" i="1"/>
  <c r="L1399" i="1"/>
  <c r="L1231" i="1"/>
  <c r="N1231" i="1" s="1"/>
  <c r="L1087" i="1"/>
  <c r="N1087" i="1" s="1"/>
  <c r="L943" i="1"/>
  <c r="N943" i="1" s="1"/>
  <c r="L1375" i="1"/>
  <c r="L1446" i="1"/>
  <c r="N1446" i="1" s="1"/>
  <c r="L1302" i="1"/>
  <c r="L1158" i="1"/>
  <c r="L1014" i="1"/>
  <c r="L870" i="1"/>
  <c r="L726" i="1"/>
  <c r="L582" i="1"/>
  <c r="L1578" i="1"/>
  <c r="N1578" i="1" s="1"/>
  <c r="L1613" i="1"/>
  <c r="N1613" i="1" s="1"/>
  <c r="L1469" i="1"/>
  <c r="N1469" i="1" s="1"/>
  <c r="L1325" i="1"/>
  <c r="L1181" i="1"/>
  <c r="L1037" i="1"/>
  <c r="N1037" i="1" s="1"/>
  <c r="L893" i="1"/>
  <c r="L749" i="1"/>
  <c r="N749" i="1" s="1"/>
  <c r="L1216" i="1"/>
  <c r="L928" i="1"/>
  <c r="L652" i="1"/>
  <c r="L364" i="1"/>
  <c r="L76" i="1"/>
  <c r="N76" i="1" s="1"/>
  <c r="L1396" i="1"/>
  <c r="N1396" i="1" s="1"/>
  <c r="L1108" i="1"/>
  <c r="N1108" i="1" s="1"/>
  <c r="L820" i="1"/>
  <c r="L520" i="1"/>
  <c r="L232" i="1"/>
  <c r="N232" i="1" s="1"/>
  <c r="L1671" i="1"/>
  <c r="L1527" i="1"/>
  <c r="N1527" i="1" s="1"/>
  <c r="L1526" i="1"/>
  <c r="L1382" i="1"/>
  <c r="L1238" i="1"/>
  <c r="L1094" i="1"/>
  <c r="L950" i="1"/>
  <c r="N950" i="1" s="1"/>
  <c r="L806" i="1"/>
  <c r="L662" i="1"/>
  <c r="N662" i="1" s="1"/>
  <c r="L518" i="1"/>
  <c r="N518" i="1" s="1"/>
  <c r="L374" i="1"/>
  <c r="L230" i="1"/>
  <c r="N230" i="1" s="1"/>
  <c r="L751" i="1"/>
  <c r="L607" i="1"/>
  <c r="N607" i="1" s="1"/>
  <c r="L463" i="1"/>
  <c r="L319" i="1"/>
  <c r="L175" i="1"/>
  <c r="L31" i="1"/>
  <c r="L498" i="1"/>
  <c r="N498" i="1" s="1"/>
  <c r="L354" i="1"/>
  <c r="L210" i="1"/>
  <c r="L66" i="1"/>
  <c r="L701" i="1"/>
  <c r="L557" i="1"/>
  <c r="L413" i="1"/>
  <c r="L269" i="1"/>
  <c r="L1522" i="1"/>
  <c r="L430" i="1"/>
  <c r="L1113" i="1"/>
  <c r="L297" i="1"/>
  <c r="L1597" i="1"/>
  <c r="L70" i="1"/>
  <c r="N70" i="1" s="1"/>
  <c r="L705" i="1"/>
  <c r="L394" i="1"/>
  <c r="L586" i="1"/>
  <c r="L274" i="1"/>
  <c r="L1342" i="1"/>
  <c r="L1701" i="1"/>
  <c r="N1701" i="1" s="1"/>
  <c r="L1210" i="1"/>
  <c r="L190" i="1"/>
  <c r="L1017" i="1"/>
  <c r="L249" i="1"/>
  <c r="L1054" i="1"/>
  <c r="N1054" i="1" s="1"/>
  <c r="L1581" i="1"/>
  <c r="N1581" i="1" s="1"/>
  <c r="L681" i="1"/>
  <c r="N681" i="1" s="1"/>
  <c r="L1628" i="1"/>
  <c r="L1268" i="1"/>
  <c r="L908" i="1"/>
  <c r="L1615" i="1"/>
  <c r="L1447" i="1"/>
  <c r="L597" i="1"/>
  <c r="L1640" i="1"/>
  <c r="L956" i="1"/>
  <c r="L1618" i="1"/>
  <c r="L645" i="1"/>
  <c r="L1652" i="1"/>
  <c r="N1652" i="1" s="1"/>
  <c r="L920" i="1"/>
  <c r="N920" i="1" s="1"/>
  <c r="L1504" i="1"/>
  <c r="L466" i="1"/>
  <c r="L1077" i="1"/>
  <c r="L57" i="1"/>
  <c r="N57" i="1" s="1"/>
  <c r="L1316" i="1"/>
  <c r="L1696" i="1"/>
  <c r="L1634" i="1"/>
  <c r="L1381" i="1"/>
  <c r="L1237" i="1"/>
  <c r="L1093" i="1"/>
  <c r="N1093" i="1" s="1"/>
  <c r="L949" i="1"/>
  <c r="L805" i="1"/>
  <c r="N805" i="1" s="1"/>
  <c r="L661" i="1"/>
  <c r="L517" i="1"/>
  <c r="L1704" i="1"/>
  <c r="L572" i="1"/>
  <c r="L428" i="1"/>
  <c r="N428" i="1" s="1"/>
  <c r="L284" i="1"/>
  <c r="L140" i="1"/>
  <c r="L1363" i="1"/>
  <c r="L1219" i="1"/>
  <c r="L1075" i="1"/>
  <c r="N1075" i="1" s="1"/>
  <c r="L931" i="1"/>
  <c r="N931" i="1" s="1"/>
  <c r="L1686" i="1"/>
  <c r="N1686" i="1" s="1"/>
  <c r="L1434" i="1"/>
  <c r="N1434" i="1" s="1"/>
  <c r="L1290" i="1"/>
  <c r="L1146" i="1"/>
  <c r="L1002" i="1"/>
  <c r="L858" i="1"/>
  <c r="N858" i="1" s="1"/>
  <c r="L714" i="1"/>
  <c r="L570" i="1"/>
  <c r="L1554" i="1"/>
  <c r="L1601" i="1"/>
  <c r="L1457" i="1"/>
  <c r="N1457" i="1" s="1"/>
  <c r="L1313" i="1"/>
  <c r="L1169" i="1"/>
  <c r="N1169" i="1" s="1"/>
  <c r="L1025" i="1"/>
  <c r="L881" i="1"/>
  <c r="L737" i="1"/>
  <c r="L1192" i="1"/>
  <c r="L904" i="1"/>
  <c r="N904" i="1" s="1"/>
  <c r="L628" i="1"/>
  <c r="L340" i="1"/>
  <c r="L52" i="1"/>
  <c r="L1372" i="1"/>
  <c r="L1084" i="1"/>
  <c r="N1084" i="1" s="1"/>
  <c r="L796" i="1"/>
  <c r="N796" i="1" s="1"/>
  <c r="L496" i="1"/>
  <c r="N496" i="1" s="1"/>
  <c r="L208" i="1"/>
  <c r="L1659" i="1"/>
  <c r="L1515" i="1"/>
  <c r="L1514" i="1"/>
  <c r="L1370" i="1"/>
  <c r="N1370" i="1" s="1"/>
  <c r="L1226" i="1"/>
  <c r="L1082" i="1"/>
  <c r="L938" i="1"/>
  <c r="L794" i="1"/>
  <c r="L650" i="1"/>
  <c r="N650" i="1" s="1"/>
  <c r="L506" i="1"/>
  <c r="N506" i="1" s="1"/>
  <c r="L362" i="1"/>
  <c r="N362" i="1" s="1"/>
  <c r="L218" i="1"/>
  <c r="L739" i="1"/>
  <c r="L595" i="1"/>
  <c r="L451" i="1"/>
  <c r="N451" i="1" s="1"/>
  <c r="L307" i="1"/>
  <c r="L1426" i="1"/>
  <c r="L334" i="1"/>
  <c r="L1053" i="1"/>
  <c r="L213" i="1"/>
  <c r="L1678" i="1"/>
  <c r="N1678" i="1" s="1"/>
  <c r="L525" i="1"/>
  <c r="L250" i="1"/>
  <c r="N250" i="1" s="1"/>
  <c r="L154" i="1"/>
  <c r="L1198" i="1"/>
  <c r="L1557" i="1"/>
  <c r="L1126" i="1"/>
  <c r="L106" i="1"/>
  <c r="N106" i="1" s="1"/>
  <c r="L933" i="1"/>
  <c r="L201" i="1"/>
  <c r="L970" i="1"/>
  <c r="L1521" i="1"/>
  <c r="L621" i="1"/>
  <c r="N621" i="1" s="1"/>
  <c r="L1580" i="1"/>
  <c r="N1580" i="1" s="1"/>
  <c r="L1220" i="1"/>
  <c r="N1220" i="1" s="1"/>
  <c r="L884" i="1"/>
  <c r="L1579" i="1"/>
  <c r="L1570" i="1"/>
  <c r="L513" i="1"/>
  <c r="L1604" i="1"/>
  <c r="N1604" i="1" s="1"/>
  <c r="L896" i="1"/>
  <c r="L1474" i="1"/>
  <c r="L537" i="1"/>
  <c r="N537" i="1" s="1"/>
  <c r="L1592" i="1"/>
  <c r="L872" i="1"/>
  <c r="L1492" i="1"/>
  <c r="L310" i="1"/>
  <c r="N310" i="1" s="1"/>
  <c r="L981" i="1"/>
  <c r="N981" i="1" s="1"/>
  <c r="L1244" i="1"/>
  <c r="L1660" i="1"/>
  <c r="L1622" i="1"/>
  <c r="L1369" i="1"/>
  <c r="L1225" i="1"/>
  <c r="L1081" i="1"/>
  <c r="L937" i="1"/>
  <c r="L793" i="1"/>
  <c r="L649" i="1"/>
  <c r="L505" i="1"/>
  <c r="N505" i="1" s="1"/>
  <c r="L560" i="1"/>
  <c r="N560" i="1" s="1"/>
  <c r="L416" i="1"/>
  <c r="L272" i="1"/>
  <c r="L128" i="1"/>
  <c r="L1351" i="1"/>
  <c r="L1207" i="1"/>
  <c r="N1207" i="1" s="1"/>
  <c r="L1063" i="1"/>
  <c r="L919" i="1"/>
  <c r="N919" i="1" s="1"/>
  <c r="L1662" i="1"/>
  <c r="L1422" i="1"/>
  <c r="N1422" i="1" s="1"/>
  <c r="L1278" i="1"/>
  <c r="N1278" i="1" s="1"/>
  <c r="L1134" i="1"/>
  <c r="N1134" i="1" s="1"/>
  <c r="L990" i="1"/>
  <c r="N990" i="1" s="1"/>
  <c r="L846" i="1"/>
  <c r="L702" i="1"/>
  <c r="N702" i="1" s="1"/>
  <c r="L558" i="1"/>
  <c r="L1530" i="1"/>
  <c r="L1589" i="1"/>
  <c r="N1589" i="1" s="1"/>
  <c r="L1445" i="1"/>
  <c r="L1301" i="1"/>
  <c r="L1157" i="1"/>
  <c r="L1013" i="1"/>
  <c r="L869" i="1"/>
  <c r="N869" i="1" s="1"/>
  <c r="L725" i="1"/>
  <c r="N725" i="1" s="1"/>
  <c r="L1168" i="1"/>
  <c r="N1168" i="1" s="1"/>
  <c r="L880" i="1"/>
  <c r="L604" i="1"/>
  <c r="L316" i="1"/>
  <c r="L28" i="1"/>
  <c r="N28" i="1" s="1"/>
  <c r="L1348" i="1"/>
  <c r="N1348" i="1" s="1"/>
  <c r="L1060" i="1"/>
  <c r="L772" i="1"/>
  <c r="L472" i="1"/>
  <c r="L184" i="1"/>
  <c r="L1647" i="1"/>
  <c r="N1647" i="1" s="1"/>
  <c r="L1503" i="1"/>
  <c r="L1502" i="1"/>
  <c r="N1502" i="1" s="1"/>
  <c r="L1358" i="1"/>
  <c r="L1214" i="1"/>
  <c r="L1070" i="1"/>
  <c r="L926" i="1"/>
  <c r="L782" i="1"/>
  <c r="L638" i="1"/>
  <c r="L494" i="1"/>
  <c r="L350" i="1"/>
  <c r="L206" i="1"/>
  <c r="N206" i="1" s="1"/>
  <c r="L727" i="1"/>
  <c r="L583" i="1"/>
  <c r="L439" i="1"/>
  <c r="L295" i="1"/>
  <c r="L1354" i="1"/>
  <c r="L238" i="1"/>
  <c r="L993" i="1"/>
  <c r="L9" i="1"/>
  <c r="L1546" i="1"/>
  <c r="L82" i="1"/>
  <c r="L22" i="1"/>
  <c r="N22" i="1" s="1"/>
  <c r="L1042" i="1"/>
  <c r="L1425" i="1"/>
  <c r="L1030" i="1"/>
  <c r="N1030" i="1" s="1"/>
  <c r="L10" i="1"/>
  <c r="N10" i="1" s="1"/>
  <c r="L885" i="1"/>
  <c r="L141" i="1"/>
  <c r="L886" i="1"/>
  <c r="L1449" i="1"/>
  <c r="L573" i="1"/>
  <c r="L1556" i="1"/>
  <c r="L1208" i="1"/>
  <c r="N1208" i="1" s="1"/>
  <c r="L848" i="1"/>
  <c r="L1567" i="1"/>
  <c r="L1390" i="1"/>
  <c r="N1390" i="1" s="1"/>
  <c r="L405" i="1"/>
  <c r="N405" i="1" s="1"/>
  <c r="L1544" i="1"/>
  <c r="N1544" i="1" s="1"/>
  <c r="L824" i="1"/>
  <c r="L1306" i="1"/>
  <c r="L453" i="1"/>
  <c r="L1532" i="1"/>
  <c r="L812" i="1"/>
  <c r="L1480" i="1"/>
  <c r="L130" i="1"/>
  <c r="L861" i="1"/>
  <c r="L1184" i="1"/>
  <c r="L1636" i="1"/>
  <c r="N1636" i="1" s="1"/>
  <c r="L1610" i="1"/>
  <c r="L1357" i="1"/>
  <c r="N1357" i="1" s="1"/>
  <c r="L1213" i="1"/>
  <c r="L1069" i="1"/>
  <c r="L925" i="1"/>
  <c r="L781" i="1"/>
  <c r="L637" i="1"/>
  <c r="N637" i="1" s="1"/>
  <c r="L493" i="1"/>
  <c r="L548" i="1"/>
  <c r="L404" i="1"/>
  <c r="L260" i="1"/>
  <c r="L116" i="1"/>
  <c r="N116" i="1" s="1"/>
  <c r="L1339" i="1"/>
  <c r="L1195" i="1"/>
  <c r="N1195" i="1" s="1"/>
  <c r="L1051" i="1"/>
  <c r="L907" i="1"/>
  <c r="L1638" i="1"/>
  <c r="L1410" i="1"/>
  <c r="L1266" i="1"/>
  <c r="L1122" i="1"/>
  <c r="L978" i="1"/>
  <c r="L834" i="1"/>
  <c r="L690" i="1"/>
  <c r="N690" i="1" s="1"/>
  <c r="L546" i="1"/>
  <c r="N546" i="1" s="1"/>
  <c r="L1506" i="1"/>
  <c r="N1506" i="1" s="1"/>
  <c r="L1577" i="1"/>
  <c r="N1577" i="1" s="1"/>
  <c r="L1433" i="1"/>
  <c r="L1289" i="1"/>
  <c r="L1145" i="1"/>
  <c r="L1001" i="1"/>
  <c r="L857" i="1"/>
  <c r="L1432" i="1"/>
  <c r="L1144" i="1"/>
  <c r="L856" i="1"/>
  <c r="L580" i="1"/>
  <c r="L292" i="1"/>
  <c r="N292" i="1" s="1"/>
  <c r="L4" i="1"/>
  <c r="N4" i="1" s="1"/>
  <c r="L1324" i="1"/>
  <c r="N1324" i="1" s="1"/>
  <c r="L1036" i="1"/>
  <c r="N1036" i="1" s="1"/>
  <c r="L748" i="1"/>
  <c r="L448" i="1"/>
  <c r="L160" i="1"/>
  <c r="L1635" i="1"/>
  <c r="L1491" i="1"/>
  <c r="L1490" i="1"/>
  <c r="L1346" i="1"/>
  <c r="L1202" i="1"/>
  <c r="L1058" i="1"/>
  <c r="N1058" i="1" s="1"/>
  <c r="L914" i="1"/>
  <c r="N914" i="1" s="1"/>
  <c r="L770" i="1"/>
  <c r="N770" i="1" s="1"/>
  <c r="L626" i="1"/>
  <c r="L482" i="1"/>
  <c r="L338" i="1"/>
  <c r="L194" i="1"/>
  <c r="L715" i="1"/>
  <c r="N715" i="1" s="1"/>
  <c r="L571" i="1"/>
  <c r="L427" i="1"/>
  <c r="L283" i="1"/>
  <c r="L1258" i="1"/>
  <c r="L166" i="1"/>
  <c r="N166" i="1" s="1"/>
  <c r="L909" i="1"/>
  <c r="N909" i="1" s="1"/>
  <c r="L1705" i="1"/>
  <c r="N1705" i="1" s="1"/>
  <c r="L1402" i="1"/>
  <c r="L1681" i="1"/>
  <c r="L1642" i="1"/>
  <c r="L910" i="1"/>
  <c r="L1245" i="1"/>
  <c r="L922" i="1"/>
  <c r="L1665" i="1"/>
  <c r="L801" i="1"/>
  <c r="N801" i="1" s="1"/>
  <c r="L81" i="1"/>
  <c r="N81" i="1" s="1"/>
  <c r="L814" i="1"/>
  <c r="L1353" i="1"/>
  <c r="N1353" i="1" s="1"/>
  <c r="L489" i="1"/>
  <c r="N489" i="1" s="1"/>
  <c r="L1520" i="1"/>
  <c r="L1160" i="1"/>
  <c r="L836" i="1"/>
  <c r="L1555" i="1"/>
  <c r="L1222" i="1"/>
  <c r="N1222" i="1" s="1"/>
  <c r="L1605" i="1"/>
  <c r="L321" i="1"/>
  <c r="L1484" i="1"/>
  <c r="N1484" i="1" s="1"/>
  <c r="L692" i="1"/>
  <c r="L1150" i="1"/>
  <c r="N1150" i="1" s="1"/>
  <c r="L1629" i="1"/>
  <c r="N1629" i="1" s="1"/>
  <c r="L345" i="1"/>
  <c r="N345" i="1" s="1"/>
  <c r="L1472" i="1"/>
  <c r="N1472" i="1" s="1"/>
  <c r="L728" i="1"/>
  <c r="N728" i="1" s="1"/>
  <c r="L1468" i="1"/>
  <c r="L765" i="1"/>
  <c r="N765" i="1" s="1"/>
  <c r="L1124" i="1"/>
  <c r="L1612" i="1"/>
  <c r="L1598" i="1"/>
  <c r="L1345" i="1"/>
  <c r="L1201" i="1"/>
  <c r="L1057" i="1"/>
  <c r="N1057" i="1" s="1"/>
  <c r="L913" i="1"/>
  <c r="N913" i="1" s="1"/>
  <c r="L769" i="1"/>
  <c r="N769" i="1" s="1"/>
  <c r="L625" i="1"/>
  <c r="L481" i="1"/>
  <c r="L536" i="1"/>
  <c r="L392" i="1"/>
  <c r="L248" i="1"/>
  <c r="N248" i="1" s="1"/>
  <c r="L104" i="1"/>
  <c r="L1327" i="1"/>
  <c r="L1183" i="1"/>
  <c r="L1039" i="1"/>
  <c r="L895" i="1"/>
  <c r="N895" i="1" s="1"/>
  <c r="L1614" i="1"/>
  <c r="N1614" i="1" s="1"/>
  <c r="L1398" i="1"/>
  <c r="N1398" i="1" s="1"/>
  <c r="L1254" i="1"/>
  <c r="L1110" i="1"/>
  <c r="L966" i="1"/>
  <c r="L822" i="1"/>
  <c r="L678" i="1"/>
  <c r="N678" i="1" s="1"/>
  <c r="L534" i="1"/>
  <c r="L1470" i="1"/>
  <c r="L1565" i="1"/>
  <c r="L1421" i="1"/>
  <c r="L1277" i="1"/>
  <c r="N1277" i="1" s="1"/>
  <c r="L1133" i="1"/>
  <c r="L989" i="1"/>
  <c r="N989" i="1" s="1"/>
  <c r="L845" i="1"/>
  <c r="L1408" i="1"/>
  <c r="L1120" i="1"/>
  <c r="L832" i="1"/>
  <c r="L556" i="1"/>
  <c r="L268" i="1"/>
  <c r="N268" i="1" s="1"/>
  <c r="L1300" i="1"/>
  <c r="L1012" i="1"/>
  <c r="L724" i="1"/>
  <c r="L424" i="1"/>
  <c r="L136" i="1"/>
  <c r="N136" i="1" s="1"/>
  <c r="L1623" i="1"/>
  <c r="L1479" i="1"/>
  <c r="L1478" i="1"/>
  <c r="L1334" i="1"/>
  <c r="L1190" i="1"/>
  <c r="L1046" i="1"/>
  <c r="N1046" i="1" s="1"/>
  <c r="L902" i="1"/>
  <c r="L758" i="1"/>
  <c r="L614" i="1"/>
  <c r="L470" i="1"/>
  <c r="L326" i="1"/>
  <c r="L182" i="1"/>
  <c r="N182" i="1" s="1"/>
  <c r="L703" i="1"/>
  <c r="N703" i="1" s="1"/>
  <c r="L559" i="1"/>
  <c r="L415" i="1"/>
  <c r="L271" i="1"/>
  <c r="L127" i="1"/>
  <c r="L450" i="1"/>
  <c r="N450" i="1" s="1"/>
  <c r="L306" i="1"/>
  <c r="L162" i="1"/>
  <c r="L18" i="1"/>
  <c r="L653" i="1"/>
  <c r="N653" i="1" s="1"/>
  <c r="L509" i="1"/>
  <c r="N509" i="1" s="1"/>
  <c r="L365" i="1"/>
  <c r="N365" i="1" s="1"/>
  <c r="L1359" i="1"/>
  <c r="N1359" i="1" s="1"/>
  <c r="L1215" i="1"/>
  <c r="L1071" i="1"/>
  <c r="N1071" i="1" s="1"/>
  <c r="L927" i="1"/>
  <c r="L783" i="1"/>
  <c r="L639" i="1"/>
  <c r="N639" i="1" s="1"/>
  <c r="L495" i="1"/>
  <c r="N495" i="1" s="1"/>
  <c r="L351" i="1"/>
  <c r="L207" i="1"/>
  <c r="L63" i="1"/>
  <c r="L62" i="1"/>
  <c r="L1186" i="1"/>
  <c r="N1186" i="1" s="1"/>
  <c r="L94" i="1"/>
  <c r="N94" i="1" s="1"/>
  <c r="L837" i="1"/>
  <c r="L1693" i="1"/>
  <c r="L1234" i="1"/>
  <c r="L1689" i="1"/>
  <c r="L1585" i="1"/>
  <c r="L1498" i="1"/>
  <c r="L754" i="1"/>
  <c r="L969" i="1"/>
  <c r="L826" i="1"/>
  <c r="L1569" i="1"/>
  <c r="L729" i="1"/>
  <c r="N729" i="1" s="1"/>
  <c r="L1066" i="1"/>
  <c r="N1066" i="1" s="1"/>
  <c r="L1677" i="1"/>
  <c r="L777" i="1"/>
  <c r="N777" i="1" s="1"/>
  <c r="L1669" i="1"/>
  <c r="L1102" i="1"/>
  <c r="L1545" i="1"/>
  <c r="N1545" i="1" s="1"/>
  <c r="L1594" i="1"/>
  <c r="L1330" i="1"/>
  <c r="L610" i="1"/>
  <c r="L1423" i="1"/>
  <c r="L766" i="1"/>
  <c r="N766" i="1" s="1"/>
  <c r="L1485" i="1"/>
  <c r="L669" i="1"/>
  <c r="N669" i="1" s="1"/>
  <c r="L1435" i="1"/>
  <c r="L574" i="1"/>
  <c r="L982" i="1"/>
  <c r="L1593" i="1"/>
  <c r="L717" i="1"/>
  <c r="L1657" i="1"/>
  <c r="L934" i="1"/>
  <c r="L1437" i="1"/>
  <c r="L1414" i="1"/>
  <c r="L1162" i="1"/>
  <c r="N1162" i="1" s="1"/>
  <c r="L1617" i="1"/>
  <c r="L454" i="1"/>
  <c r="N454" i="1" s="1"/>
  <c r="L1702" i="1"/>
  <c r="L682" i="1"/>
  <c r="L1401" i="1"/>
  <c r="L609" i="1"/>
  <c r="L1690" i="1"/>
  <c r="N1690" i="1" s="1"/>
  <c r="L478" i="1"/>
  <c r="L1101" i="1"/>
  <c r="L285" i="1"/>
  <c r="L1436" i="1"/>
  <c r="L1088" i="1"/>
  <c r="N1088" i="1" s="1"/>
  <c r="L764" i="1"/>
  <c r="N764" i="1" s="1"/>
  <c r="L1519" i="1"/>
  <c r="N1519" i="1" s="1"/>
  <c r="L778" i="1"/>
  <c r="L1233" i="1"/>
  <c r="L93" i="1"/>
  <c r="L1304" i="1"/>
  <c r="L1684" i="1"/>
  <c r="N1684" i="1" s="1"/>
  <c r="L718" i="1"/>
  <c r="L1281" i="1"/>
  <c r="L117" i="1"/>
  <c r="L1292" i="1"/>
  <c r="L1591" i="1"/>
  <c r="L1318" i="1"/>
  <c r="N1318" i="1" s="1"/>
  <c r="L477" i="1"/>
  <c r="N477" i="1" s="1"/>
  <c r="L1676" i="1"/>
  <c r="L932" i="1"/>
  <c r="L1706" i="1"/>
  <c r="L1501" i="1"/>
  <c r="L1309" i="1"/>
  <c r="N1309" i="1" s="1"/>
  <c r="L1165" i="1"/>
  <c r="L1021" i="1"/>
  <c r="L877" i="1"/>
  <c r="L733" i="1"/>
  <c r="L589" i="1"/>
  <c r="N589" i="1" s="1"/>
  <c r="L1537" i="1"/>
  <c r="N1537" i="1" s="1"/>
  <c r="L644" i="1"/>
  <c r="N644" i="1" s="1"/>
  <c r="L500" i="1"/>
  <c r="L356" i="1"/>
  <c r="L212" i="1"/>
  <c r="N212" i="1" s="1"/>
  <c r="L68" i="1"/>
  <c r="L1291" i="1"/>
  <c r="N1291" i="1" s="1"/>
  <c r="L1147" i="1"/>
  <c r="L1003" i="1"/>
  <c r="L859" i="1"/>
  <c r="L1542" i="1"/>
  <c r="L1362" i="1"/>
  <c r="N1362" i="1" s="1"/>
  <c r="L1218" i="1"/>
  <c r="N1218" i="1" s="1"/>
  <c r="L1074" i="1"/>
  <c r="L930" i="1"/>
  <c r="L786" i="1"/>
  <c r="L642" i="1"/>
  <c r="L1698" i="1"/>
  <c r="L1673" i="1"/>
  <c r="N1673" i="1" s="1"/>
  <c r="L1529" i="1"/>
  <c r="N1529" i="1" s="1"/>
  <c r="L1385" i="1"/>
  <c r="N1385" i="1" s="1"/>
  <c r="L1241" i="1"/>
  <c r="L1097" i="1"/>
  <c r="L953" i="1"/>
  <c r="L809" i="1"/>
  <c r="N809" i="1" s="1"/>
  <c r="L1336" i="1"/>
  <c r="N1336" i="1" s="1"/>
  <c r="L1048" i="1"/>
  <c r="L760" i="1"/>
  <c r="L484" i="1"/>
  <c r="L196" i="1"/>
  <c r="L898" i="1"/>
  <c r="N898" i="1" s="1"/>
  <c r="L802" i="1"/>
  <c r="L1413" i="1"/>
  <c r="L561" i="1"/>
  <c r="L1633" i="1"/>
  <c r="L658" i="1"/>
  <c r="N658" i="1" s="1"/>
  <c r="L1149" i="1"/>
  <c r="L1114" i="1"/>
  <c r="N1114" i="1" s="1"/>
  <c r="L1450" i="1"/>
  <c r="L838" i="1"/>
  <c r="L1221" i="1"/>
  <c r="L142" i="1"/>
  <c r="L1534" i="1"/>
  <c r="N1534" i="1" s="1"/>
  <c r="L514" i="1"/>
  <c r="L1293" i="1"/>
  <c r="L501" i="1"/>
  <c r="N501" i="1" s="1"/>
  <c r="L1462" i="1"/>
  <c r="L286" i="1"/>
  <c r="L945" i="1"/>
  <c r="N945" i="1" s="1"/>
  <c r="L165" i="1"/>
  <c r="N165" i="1" s="1"/>
  <c r="L1388" i="1"/>
  <c r="L1028" i="1"/>
  <c r="N1028" i="1" s="1"/>
  <c r="L740" i="1"/>
  <c r="N740" i="1" s="1"/>
  <c r="L1495" i="1"/>
  <c r="L502" i="1"/>
  <c r="L1005" i="1"/>
  <c r="L1196" i="1"/>
  <c r="L1600" i="1"/>
  <c r="L442" i="1"/>
  <c r="L1065" i="1"/>
  <c r="L1172" i="1"/>
  <c r="N1172" i="1" s="1"/>
  <c r="L1624" i="1"/>
  <c r="N1624" i="1" s="1"/>
  <c r="L1018" i="1"/>
  <c r="L1533" i="1"/>
  <c r="L333" i="1"/>
  <c r="N333" i="1" s="1"/>
  <c r="L1568" i="1"/>
  <c r="L800" i="1"/>
  <c r="N800" i="1" s="1"/>
  <c r="L1682" i="1"/>
  <c r="N1682" i="1" s="1"/>
  <c r="L1453" i="1"/>
  <c r="L1285" i="1"/>
  <c r="L1141" i="1"/>
  <c r="L997" i="1"/>
  <c r="N997" i="1" s="1"/>
  <c r="L853" i="1"/>
  <c r="N853" i="1" s="1"/>
  <c r="L709" i="1"/>
  <c r="N709" i="1" s="1"/>
  <c r="L565" i="1"/>
  <c r="L1489" i="1"/>
  <c r="L620" i="1"/>
  <c r="L476" i="1"/>
  <c r="L332" i="1"/>
  <c r="N332" i="1" s="1"/>
  <c r="L188" i="1"/>
  <c r="L44" i="1"/>
  <c r="L1267" i="1"/>
  <c r="L1123" i="1"/>
  <c r="L979" i="1"/>
  <c r="N979" i="1" s="1"/>
  <c r="L835" i="1"/>
  <c r="N835" i="1" s="1"/>
  <c r="L1494" i="1"/>
  <c r="N1494" i="1" s="1"/>
  <c r="L1338" i="1"/>
  <c r="L1194" i="1"/>
  <c r="L1050" i="1"/>
  <c r="L906" i="1"/>
  <c r="L762" i="1"/>
  <c r="N762" i="1" s="1"/>
  <c r="L618" i="1"/>
  <c r="L1650" i="1"/>
  <c r="L1649" i="1"/>
  <c r="L1505" i="1"/>
  <c r="L1361" i="1"/>
  <c r="N1361" i="1" s="1"/>
  <c r="L1217" i="1"/>
  <c r="N1217" i="1" s="1"/>
  <c r="L1073" i="1"/>
  <c r="N1073" i="1" s="1"/>
  <c r="L929" i="1"/>
  <c r="L785" i="1"/>
  <c r="L1288" i="1"/>
  <c r="L1000" i="1"/>
  <c r="L712" i="1"/>
  <c r="L436" i="1"/>
  <c r="L148" i="1"/>
  <c r="L634" i="1"/>
  <c r="L1269" i="1"/>
  <c r="L417" i="1"/>
  <c r="N417" i="1" s="1"/>
  <c r="L1609" i="1"/>
  <c r="N1609" i="1" s="1"/>
  <c r="L370" i="1"/>
  <c r="N370" i="1" s="1"/>
  <c r="L921" i="1"/>
  <c r="L742" i="1"/>
  <c r="L1090" i="1"/>
  <c r="L538" i="1"/>
  <c r="L1654" i="1"/>
  <c r="L1366" i="1"/>
  <c r="L346" i="1"/>
  <c r="L1137" i="1"/>
  <c r="L381" i="1"/>
  <c r="L1246" i="1"/>
  <c r="L118" i="1"/>
  <c r="N118" i="1" s="1"/>
  <c r="L813" i="1"/>
  <c r="N813" i="1" s="1"/>
  <c r="L69" i="1"/>
  <c r="N69" i="1" s="1"/>
  <c r="L1328" i="1"/>
  <c r="L968" i="1"/>
  <c r="L1675" i="1"/>
  <c r="L1471" i="1"/>
  <c r="L202" i="1"/>
  <c r="L789" i="1"/>
  <c r="N789" i="1" s="1"/>
  <c r="L1076" i="1"/>
  <c r="L1516" i="1"/>
  <c r="L178" i="1"/>
  <c r="L849" i="1"/>
  <c r="L1040" i="1"/>
  <c r="N1040" i="1" s="1"/>
  <c r="L1564" i="1"/>
  <c r="L730" i="1"/>
  <c r="L1305" i="1"/>
  <c r="L189" i="1"/>
  <c r="L1448" i="1"/>
  <c r="L1687" i="1"/>
  <c r="L1658" i="1"/>
  <c r="L1417" i="1"/>
  <c r="L1261" i="1"/>
  <c r="L1117" i="1"/>
  <c r="L973" i="1"/>
  <c r="N973" i="1" s="1"/>
  <c r="L829" i="1"/>
  <c r="N829" i="1" s="1"/>
  <c r="L685" i="1"/>
  <c r="L541" i="1"/>
  <c r="L1441" i="1"/>
  <c r="L596" i="1"/>
  <c r="L452" i="1"/>
  <c r="N452" i="1" s="1"/>
  <c r="L308" i="1"/>
  <c r="N308" i="1" s="1"/>
  <c r="L164" i="1"/>
  <c r="L20" i="1"/>
  <c r="L1243" i="1"/>
  <c r="L1099" i="1"/>
  <c r="N1099" i="1" s="1"/>
  <c r="L955" i="1"/>
  <c r="N955" i="1" s="1"/>
  <c r="L1411" i="1"/>
  <c r="N1411" i="1" s="1"/>
  <c r="L1458" i="1"/>
  <c r="L1314" i="1"/>
  <c r="L1170" i="1"/>
  <c r="L1026" i="1"/>
  <c r="L882" i="1"/>
  <c r="L738" i="1"/>
  <c r="L594" i="1"/>
  <c r="L1602" i="1"/>
  <c r="L1625" i="1"/>
  <c r="L1481" i="1"/>
  <c r="N1481" i="1" s="1"/>
  <c r="L1337" i="1"/>
  <c r="L1193" i="1"/>
  <c r="N1193" i="1" s="1"/>
  <c r="L706" i="1"/>
  <c r="L1270" i="1"/>
  <c r="L622" i="1"/>
  <c r="L226" i="1"/>
  <c r="N226" i="1" s="1"/>
  <c r="L105" i="1"/>
  <c r="L992" i="1"/>
  <c r="L358" i="1"/>
  <c r="L1136" i="1"/>
  <c r="L957" i="1"/>
  <c r="L1588" i="1"/>
  <c r="N1588" i="1" s="1"/>
  <c r="L261" i="1"/>
  <c r="N261" i="1" s="1"/>
  <c r="L1670" i="1"/>
  <c r="N1670" i="1" s="1"/>
  <c r="L1129" i="1"/>
  <c r="L697" i="1"/>
  <c r="L464" i="1"/>
  <c r="L32" i="1"/>
  <c r="N32" i="1" s="1"/>
  <c r="L967" i="1"/>
  <c r="N967" i="1" s="1"/>
  <c r="L1326" i="1"/>
  <c r="L894" i="1"/>
  <c r="L1626" i="1"/>
  <c r="L1349" i="1"/>
  <c r="L941" i="1"/>
  <c r="N941" i="1" s="1"/>
  <c r="L1240" i="1"/>
  <c r="N1240" i="1" s="1"/>
  <c r="L508" i="1"/>
  <c r="N508" i="1" s="1"/>
  <c r="L1156" i="1"/>
  <c r="L616" i="1"/>
  <c r="L88" i="1"/>
  <c r="L1683" i="1"/>
  <c r="L1562" i="1"/>
  <c r="N1562" i="1" s="1"/>
  <c r="L1298" i="1"/>
  <c r="L1034" i="1"/>
  <c r="L830" i="1"/>
  <c r="L566" i="1"/>
  <c r="N566" i="1" s="1"/>
  <c r="L302" i="1"/>
  <c r="N302" i="1" s="1"/>
  <c r="L787" i="1"/>
  <c r="N787" i="1" s="1"/>
  <c r="L523" i="1"/>
  <c r="N523" i="1" s="1"/>
  <c r="L259" i="1"/>
  <c r="L91" i="1"/>
  <c r="L510" i="1"/>
  <c r="N510" i="1" s="1"/>
  <c r="L330" i="1"/>
  <c r="L150" i="1"/>
  <c r="L569" i="1"/>
  <c r="L389" i="1"/>
  <c r="L1443" i="1"/>
  <c r="L1287" i="1"/>
  <c r="L1131" i="1"/>
  <c r="N1131" i="1" s="1"/>
  <c r="L975" i="1"/>
  <c r="N975" i="1" s="1"/>
  <c r="L819" i="1"/>
  <c r="N819" i="1" s="1"/>
  <c r="L663" i="1"/>
  <c r="L507" i="1"/>
  <c r="L339" i="1"/>
  <c r="L183" i="1"/>
  <c r="L27" i="1"/>
  <c r="N27" i="1" s="1"/>
  <c r="L122" i="1"/>
  <c r="L397" i="1"/>
  <c r="N397" i="1" s="1"/>
  <c r="L253" i="1"/>
  <c r="N253" i="1" s="1"/>
  <c r="L109" i="1"/>
  <c r="N109" i="1" s="1"/>
  <c r="L1548" i="1"/>
  <c r="N1548" i="1" s="1"/>
  <c r="L1404" i="1"/>
  <c r="N1404" i="1" s="1"/>
  <c r="L1260" i="1"/>
  <c r="N1260" i="1" s="1"/>
  <c r="L1116" i="1"/>
  <c r="L972" i="1"/>
  <c r="L828" i="1"/>
  <c r="L684" i="1"/>
  <c r="N684" i="1" s="1"/>
  <c r="L540" i="1"/>
  <c r="N540" i="1" s="1"/>
  <c r="L396" i="1"/>
  <c r="L252" i="1"/>
  <c r="N252" i="1" s="1"/>
  <c r="L1691" i="1"/>
  <c r="L1547" i="1"/>
  <c r="L1403" i="1"/>
  <c r="N1403" i="1" s="1"/>
  <c r="L1259" i="1"/>
  <c r="N1259" i="1" s="1"/>
  <c r="L1115" i="1"/>
  <c r="L971" i="1"/>
  <c r="L827" i="1"/>
  <c r="L683" i="1"/>
  <c r="L539" i="1"/>
  <c r="L395" i="1"/>
  <c r="L108" i="1"/>
  <c r="L311" i="1"/>
  <c r="N311" i="1" s="1"/>
  <c r="L167" i="1"/>
  <c r="N167" i="1" s="1"/>
  <c r="L23" i="1"/>
  <c r="L149" i="1"/>
  <c r="L5" i="1"/>
  <c r="N5" i="1" s="1"/>
  <c r="L958" i="1"/>
  <c r="N958" i="1" s="1"/>
  <c r="L406" i="1"/>
  <c r="L788" i="1"/>
  <c r="L1473" i="1"/>
  <c r="L1663" i="1"/>
  <c r="L273" i="1"/>
  <c r="N273" i="1" s="1"/>
  <c r="L1582" i="1"/>
  <c r="L1549" i="1"/>
  <c r="L1045" i="1"/>
  <c r="L613" i="1"/>
  <c r="N613" i="1" s="1"/>
  <c r="L380" i="1"/>
  <c r="N380" i="1" s="1"/>
  <c r="L1315" i="1"/>
  <c r="N1315" i="1" s="1"/>
  <c r="L883" i="1"/>
  <c r="N883" i="1" s="1"/>
  <c r="L1242" i="1"/>
  <c r="L810" i="1"/>
  <c r="L1697" i="1"/>
  <c r="L1265" i="1"/>
  <c r="L917" i="1"/>
  <c r="L1096" i="1"/>
  <c r="L460" i="1"/>
  <c r="L1132" i="1"/>
  <c r="L592" i="1"/>
  <c r="L64" i="1"/>
  <c r="N64" i="1" s="1"/>
  <c r="L1611" i="1"/>
  <c r="N1611" i="1" s="1"/>
  <c r="L1550" i="1"/>
  <c r="N1550" i="1" s="1"/>
  <c r="L1286" i="1"/>
  <c r="L1022" i="1"/>
  <c r="L818" i="1"/>
  <c r="N818" i="1" s="1"/>
  <c r="L554" i="1"/>
  <c r="L290" i="1"/>
  <c r="N290" i="1" s="1"/>
  <c r="L775" i="1"/>
  <c r="L511" i="1"/>
  <c r="L247" i="1"/>
  <c r="L79" i="1"/>
  <c r="N79" i="1" s="1"/>
  <c r="L486" i="1"/>
  <c r="N486" i="1" s="1"/>
  <c r="L318" i="1"/>
  <c r="N318" i="1" s="1"/>
  <c r="L138" i="1"/>
  <c r="L545" i="1"/>
  <c r="L377" i="1"/>
  <c r="L1431" i="1"/>
  <c r="L1275" i="1"/>
  <c r="L1119" i="1"/>
  <c r="L963" i="1"/>
  <c r="L807" i="1"/>
  <c r="L651" i="1"/>
  <c r="L483" i="1"/>
  <c r="L327" i="1"/>
  <c r="L171" i="1"/>
  <c r="N171" i="1" s="1"/>
  <c r="L15" i="1"/>
  <c r="N15" i="1" s="1"/>
  <c r="L110" i="1"/>
  <c r="N110" i="1" s="1"/>
  <c r="L385" i="1"/>
  <c r="L241" i="1"/>
  <c r="N241" i="1" s="1"/>
  <c r="L97" i="1"/>
  <c r="N97" i="1" s="1"/>
  <c r="L1536" i="1"/>
  <c r="N1536" i="1" s="1"/>
  <c r="L1392" i="1"/>
  <c r="L1248" i="1"/>
  <c r="L1104" i="1"/>
  <c r="L960" i="1"/>
  <c r="L816" i="1"/>
  <c r="L672" i="1"/>
  <c r="N672" i="1" s="1"/>
  <c r="L528" i="1"/>
  <c r="N528" i="1" s="1"/>
  <c r="L384" i="1"/>
  <c r="N384" i="1" s="1"/>
  <c r="L240" i="1"/>
  <c r="L1679" i="1"/>
  <c r="L1535" i="1"/>
  <c r="L1391" i="1"/>
  <c r="N1391" i="1" s="1"/>
  <c r="L1247" i="1"/>
  <c r="N1247" i="1" s="1"/>
  <c r="L1103" i="1"/>
  <c r="L959" i="1"/>
  <c r="L815" i="1"/>
  <c r="L671" i="1"/>
  <c r="N671" i="1" s="1"/>
  <c r="L527" i="1"/>
  <c r="L383" i="1"/>
  <c r="N383" i="1" s="1"/>
  <c r="L96" i="1"/>
  <c r="N96" i="1" s="1"/>
  <c r="L299" i="1"/>
  <c r="N299" i="1" s="1"/>
  <c r="L155" i="1"/>
  <c r="L11" i="1"/>
  <c r="L8" i="1"/>
  <c r="N8" i="1" s="1"/>
  <c r="L137" i="1"/>
  <c r="L1497" i="1"/>
  <c r="L1630" i="1"/>
  <c r="L776" i="1"/>
  <c r="L1365" i="1"/>
  <c r="L1603" i="1"/>
  <c r="N1603" i="1" s="1"/>
  <c r="L177" i="1"/>
  <c r="N177" i="1" s="1"/>
  <c r="L1438" i="1"/>
  <c r="L1525" i="1"/>
  <c r="L1033" i="1"/>
  <c r="L601" i="1"/>
  <c r="N601" i="1" s="1"/>
  <c r="L368" i="1"/>
  <c r="L1303" i="1"/>
  <c r="L871" i="1"/>
  <c r="L1230" i="1"/>
  <c r="N1230" i="1" s="1"/>
  <c r="L798" i="1"/>
  <c r="L1685" i="1"/>
  <c r="N1685" i="1" s="1"/>
  <c r="L1253" i="1"/>
  <c r="N1253" i="1" s="1"/>
  <c r="L905" i="1"/>
  <c r="N905" i="1" s="1"/>
  <c r="L1072" i="1"/>
  <c r="L412" i="1"/>
  <c r="L988" i="1"/>
  <c r="L568" i="1"/>
  <c r="L40" i="1"/>
  <c r="N40" i="1" s="1"/>
  <c r="L1599" i="1"/>
  <c r="L1538" i="1"/>
  <c r="N1538" i="1" s="1"/>
  <c r="L1274" i="1"/>
  <c r="L1010" i="1"/>
  <c r="L746" i="1"/>
  <c r="N746" i="1" s="1"/>
  <c r="L542" i="1"/>
  <c r="L278" i="1"/>
  <c r="N278" i="1" s="1"/>
  <c r="L763" i="1"/>
  <c r="N763" i="1" s="1"/>
  <c r="L499" i="1"/>
  <c r="N499" i="1" s="1"/>
  <c r="L235" i="1"/>
  <c r="N235" i="1" s="1"/>
  <c r="L67" i="1"/>
  <c r="L474" i="1"/>
  <c r="L294" i="1"/>
  <c r="L126" i="1"/>
  <c r="L713" i="1"/>
  <c r="L533" i="1"/>
  <c r="L353" i="1"/>
  <c r="N353" i="1" s="1"/>
  <c r="L1419" i="1"/>
  <c r="N1419" i="1" s="1"/>
  <c r="L1263" i="1"/>
  <c r="N1263" i="1" s="1"/>
  <c r="L1107" i="1"/>
  <c r="L951" i="1"/>
  <c r="L795" i="1"/>
  <c r="L627" i="1"/>
  <c r="N627" i="1" s="1"/>
  <c r="L471" i="1"/>
  <c r="L315" i="1"/>
  <c r="L159" i="1"/>
  <c r="L3" i="1"/>
  <c r="N3" i="1" s="1"/>
  <c r="L98" i="1"/>
  <c r="N98" i="1" s="1"/>
  <c r="L373" i="1"/>
  <c r="L229" i="1"/>
  <c r="N229" i="1" s="1"/>
  <c r="L85" i="1"/>
  <c r="N85" i="1" s="1"/>
  <c r="L1524" i="1"/>
  <c r="L1380" i="1"/>
  <c r="L1236" i="1"/>
  <c r="L1092" i="1"/>
  <c r="L948" i="1"/>
  <c r="N948" i="1" s="1"/>
  <c r="L804" i="1"/>
  <c r="L660" i="1"/>
  <c r="L516" i="1"/>
  <c r="L372" i="1"/>
  <c r="L228" i="1"/>
  <c r="N228" i="1" s="1"/>
  <c r="L1667" i="1"/>
  <c r="N1667" i="1" s="1"/>
  <c r="L1523" i="1"/>
  <c r="N1523" i="1" s="1"/>
  <c r="L1379" i="1"/>
  <c r="L1235" i="1"/>
  <c r="N1235" i="1" s="1"/>
  <c r="L1091" i="1"/>
  <c r="L947" i="1"/>
  <c r="L803" i="1"/>
  <c r="N803" i="1" s="1"/>
  <c r="L659" i="1"/>
  <c r="L515" i="1"/>
  <c r="L371" i="1"/>
  <c r="L84" i="1"/>
  <c r="L287" i="1"/>
  <c r="N287" i="1" s="1"/>
  <c r="L143" i="1"/>
  <c r="N143" i="1" s="1"/>
  <c r="L125" i="1"/>
  <c r="L1329" i="1"/>
  <c r="L1282" i="1"/>
  <c r="L752" i="1"/>
  <c r="N752" i="1" s="1"/>
  <c r="L1125" i="1"/>
  <c r="L1648" i="1"/>
  <c r="N1648" i="1" s="1"/>
  <c r="L33" i="1"/>
  <c r="L1174" i="1"/>
  <c r="L1616" i="1"/>
  <c r="L1477" i="1"/>
  <c r="L1009" i="1"/>
  <c r="N1009" i="1" s="1"/>
  <c r="L577" i="1"/>
  <c r="N577" i="1" s="1"/>
  <c r="L344" i="1"/>
  <c r="N344" i="1" s="1"/>
  <c r="L1279" i="1"/>
  <c r="L847" i="1"/>
  <c r="L1206" i="1"/>
  <c r="L774" i="1"/>
  <c r="L1661" i="1"/>
  <c r="N1661" i="1" s="1"/>
  <c r="L1229" i="1"/>
  <c r="L833" i="1"/>
  <c r="N833" i="1" s="1"/>
  <c r="L1024" i="1"/>
  <c r="L388" i="1"/>
  <c r="L964" i="1"/>
  <c r="N964" i="1" s="1"/>
  <c r="L544" i="1"/>
  <c r="L16" i="1"/>
  <c r="N16" i="1" s="1"/>
  <c r="L1587" i="1"/>
  <c r="L1466" i="1"/>
  <c r="N1466" i="1" s="1"/>
  <c r="L1262" i="1"/>
  <c r="L998" i="1"/>
  <c r="L734" i="1"/>
  <c r="N734" i="1" s="1"/>
  <c r="L530" i="1"/>
  <c r="L266" i="1"/>
  <c r="L691" i="1"/>
  <c r="L487" i="1"/>
  <c r="N487" i="1" s="1"/>
  <c r="L223" i="1"/>
  <c r="N223" i="1" s="1"/>
  <c r="L55" i="1"/>
  <c r="N55" i="1" s="1"/>
  <c r="L462" i="1"/>
  <c r="N462" i="1" s="1"/>
  <c r="L282" i="1"/>
  <c r="L114" i="1"/>
  <c r="N114" i="1" s="1"/>
  <c r="L689" i="1"/>
  <c r="L521" i="1"/>
  <c r="L341" i="1"/>
  <c r="N341" i="1" s="1"/>
  <c r="L1407" i="1"/>
  <c r="L1251" i="1"/>
  <c r="L1095" i="1"/>
  <c r="L939" i="1"/>
  <c r="L771" i="1"/>
  <c r="N771" i="1" s="1"/>
  <c r="L615" i="1"/>
  <c r="N615" i="1" s="1"/>
  <c r="L459" i="1"/>
  <c r="N459" i="1" s="1"/>
  <c r="L303" i="1"/>
  <c r="L147" i="1"/>
  <c r="L86" i="1"/>
  <c r="L361" i="1"/>
  <c r="L217" i="1"/>
  <c r="N217" i="1" s="1"/>
  <c r="L73" i="1"/>
  <c r="L1512" i="1"/>
  <c r="L1368" i="1"/>
  <c r="L1224" i="1"/>
  <c r="L1080" i="1"/>
  <c r="N1080" i="1" s="1"/>
  <c r="L936" i="1"/>
  <c r="L792" i="1"/>
  <c r="N792" i="1" s="1"/>
  <c r="L648" i="1"/>
  <c r="L504" i="1"/>
  <c r="L360" i="1"/>
  <c r="N360" i="1" s="1"/>
  <c r="L216" i="1"/>
  <c r="L1655" i="1"/>
  <c r="N1655" i="1" s="1"/>
  <c r="L1511" i="1"/>
  <c r="L1367" i="1"/>
  <c r="N1367" i="1" s="1"/>
  <c r="L1223" i="1"/>
  <c r="N1223" i="1" s="1"/>
  <c r="L1079" i="1"/>
  <c r="N1079" i="1" s="1"/>
  <c r="L935" i="1"/>
  <c r="N935" i="1" s="1"/>
  <c r="L791" i="1"/>
  <c r="N791" i="1" s="1"/>
  <c r="L647" i="1"/>
  <c r="N647" i="1" s="1"/>
  <c r="L503" i="1"/>
  <c r="L359" i="1"/>
  <c r="L72" i="1"/>
  <c r="L275" i="1"/>
  <c r="L131" i="1"/>
  <c r="L633" i="1"/>
  <c r="L1006" i="1"/>
  <c r="L1341" i="1"/>
  <c r="L704" i="1"/>
  <c r="L897" i="1"/>
  <c r="L1552" i="1"/>
  <c r="N1552" i="1" s="1"/>
  <c r="L874" i="1"/>
  <c r="L1508" i="1"/>
  <c r="N1508" i="1" s="1"/>
  <c r="L1429" i="1"/>
  <c r="L985" i="1"/>
  <c r="L553" i="1"/>
  <c r="L320" i="1"/>
  <c r="N320" i="1" s="1"/>
  <c r="L1255" i="1"/>
  <c r="L823" i="1"/>
  <c r="L1182" i="1"/>
  <c r="L750" i="1"/>
  <c r="L1637" i="1"/>
  <c r="N1637" i="1" s="1"/>
  <c r="L1205" i="1"/>
  <c r="N1205" i="1" s="1"/>
  <c r="L821" i="1"/>
  <c r="N821" i="1" s="1"/>
  <c r="L976" i="1"/>
  <c r="L244" i="1"/>
  <c r="N244" i="1" s="1"/>
  <c r="L940" i="1"/>
  <c r="L400" i="1"/>
  <c r="L1575" i="1"/>
  <c r="N1575" i="1" s="1"/>
  <c r="L1454" i="1"/>
  <c r="L1250" i="1"/>
  <c r="L986" i="1"/>
  <c r="L722" i="1"/>
  <c r="L458" i="1"/>
  <c r="L254" i="1"/>
  <c r="N254" i="1" s="1"/>
  <c r="L679" i="1"/>
  <c r="N679" i="1" s="1"/>
  <c r="L475" i="1"/>
  <c r="L211" i="1"/>
  <c r="L43" i="1"/>
  <c r="L438" i="1"/>
  <c r="L270" i="1"/>
  <c r="N270" i="1" s="1"/>
  <c r="L102" i="1"/>
  <c r="L677" i="1"/>
  <c r="L497" i="1"/>
  <c r="N497" i="1" s="1"/>
  <c r="L329" i="1"/>
  <c r="L1395" i="1"/>
  <c r="N1395" i="1" s="1"/>
  <c r="L1239" i="1"/>
  <c r="N1239" i="1" s="1"/>
  <c r="L1083" i="1"/>
  <c r="N1083" i="1" s="1"/>
  <c r="L915" i="1"/>
  <c r="L759" i="1"/>
  <c r="L603" i="1"/>
  <c r="L447" i="1"/>
  <c r="L291" i="1"/>
  <c r="L135" i="1"/>
  <c r="L74" i="1"/>
  <c r="L349" i="1"/>
  <c r="L205" i="1"/>
  <c r="L61" i="1"/>
  <c r="N61" i="1" s="1"/>
  <c r="L1680" i="1"/>
  <c r="N1680" i="1" s="1"/>
  <c r="L1500" i="1"/>
  <c r="N1500" i="1" s="1"/>
  <c r="L1356" i="1"/>
  <c r="L1212" i="1"/>
  <c r="L1068" i="1"/>
  <c r="L924" i="1"/>
  <c r="L780" i="1"/>
  <c r="L636" i="1"/>
  <c r="L492" i="1"/>
  <c r="L348" i="1"/>
  <c r="L204" i="1"/>
  <c r="L1643" i="1"/>
  <c r="N1643" i="1" s="1"/>
  <c r="L1499" i="1"/>
  <c r="L1355" i="1"/>
  <c r="N1355" i="1" s="1"/>
  <c r="L1211" i="1"/>
  <c r="L1067" i="1"/>
  <c r="N1067" i="1" s="1"/>
  <c r="L923" i="1"/>
  <c r="N923" i="1" s="1"/>
  <c r="L779" i="1"/>
  <c r="L635" i="1"/>
  <c r="N635" i="1" s="1"/>
  <c r="L491" i="1"/>
  <c r="L347" i="1"/>
  <c r="L60" i="1"/>
  <c r="L263" i="1"/>
  <c r="L119" i="1"/>
  <c r="N119" i="1" s="1"/>
  <c r="L245" i="1"/>
  <c r="N245" i="1" s="1"/>
  <c r="L101" i="1"/>
  <c r="L465" i="1"/>
  <c r="L694" i="1"/>
  <c r="L1209" i="1"/>
  <c r="L1257" i="1"/>
  <c r="L1496" i="1"/>
  <c r="N1496" i="1" s="1"/>
  <c r="L1543" i="1"/>
  <c r="L237" i="1"/>
  <c r="L994" i="1"/>
  <c r="L1424" i="1"/>
  <c r="L1064" i="1"/>
  <c r="L1333" i="1"/>
  <c r="N1333" i="1" s="1"/>
  <c r="L901" i="1"/>
  <c r="N901" i="1" s="1"/>
  <c r="L469" i="1"/>
  <c r="L668" i="1"/>
  <c r="L236" i="1"/>
  <c r="L1171" i="1"/>
  <c r="L1590" i="1"/>
  <c r="N1590" i="1" s="1"/>
  <c r="L1098" i="1"/>
  <c r="L666" i="1"/>
  <c r="N666" i="1" s="1"/>
  <c r="L1553" i="1"/>
  <c r="L1121" i="1"/>
  <c r="L797" i="1"/>
  <c r="N797" i="1" s="1"/>
  <c r="L952" i="1"/>
  <c r="N952" i="1" s="1"/>
  <c r="L220" i="1"/>
  <c r="N220" i="1" s="1"/>
  <c r="L1444" i="1"/>
  <c r="L916" i="1"/>
  <c r="L376" i="1"/>
  <c r="L1563" i="1"/>
  <c r="L1442" i="1"/>
  <c r="L1178" i="1"/>
  <c r="L974" i="1"/>
  <c r="L710" i="1"/>
  <c r="L446" i="1"/>
  <c r="L242" i="1"/>
  <c r="N242" i="1" s="1"/>
  <c r="L667" i="1"/>
  <c r="L403" i="1"/>
  <c r="N403" i="1" s="1"/>
  <c r="L199" i="1"/>
  <c r="L19" i="1"/>
  <c r="L426" i="1"/>
  <c r="L258" i="1"/>
  <c r="N258" i="1" s="1"/>
  <c r="L90" i="1"/>
  <c r="L665" i="1"/>
  <c r="N665" i="1" s="1"/>
  <c r="L485" i="1"/>
  <c r="L317" i="1"/>
  <c r="L1383" i="1"/>
  <c r="L1227" i="1"/>
  <c r="N1227" i="1" s="1"/>
  <c r="L1059" i="1"/>
  <c r="N1059" i="1" s="1"/>
  <c r="L903" i="1"/>
  <c r="N903" i="1" s="1"/>
  <c r="L747" i="1"/>
  <c r="L591" i="1"/>
  <c r="L435" i="1"/>
  <c r="L279" i="1"/>
  <c r="L123" i="1"/>
  <c r="N123" i="1" s="1"/>
  <c r="L50" i="1"/>
  <c r="N50" i="1" s="1"/>
  <c r="L1645" i="1"/>
  <c r="L1461" i="1"/>
  <c r="L549" i="1"/>
  <c r="N549" i="1" s="1"/>
  <c r="L1173" i="1"/>
  <c r="L1460" i="1"/>
  <c r="N1460" i="1" s="1"/>
  <c r="L1531" i="1"/>
  <c r="N1531" i="1" s="1"/>
  <c r="L153" i="1"/>
  <c r="L850" i="1"/>
  <c r="L1364" i="1"/>
  <c r="L1004" i="1"/>
  <c r="L1321" i="1"/>
  <c r="N1321" i="1" s="1"/>
  <c r="L889" i="1"/>
  <c r="L1561" i="1"/>
  <c r="L656" i="1"/>
  <c r="L224" i="1"/>
  <c r="N224" i="1" s="1"/>
  <c r="L1159" i="1"/>
  <c r="N1159" i="1" s="1"/>
  <c r="L1566" i="1"/>
  <c r="N1566" i="1" s="1"/>
  <c r="L1086" i="1"/>
  <c r="N1086" i="1" s="1"/>
  <c r="L654" i="1"/>
  <c r="L1541" i="1"/>
  <c r="L1109" i="1"/>
  <c r="L773" i="1"/>
  <c r="L808" i="1"/>
  <c r="N808" i="1" s="1"/>
  <c r="L172" i="1"/>
  <c r="L1420" i="1"/>
  <c r="L892" i="1"/>
  <c r="L352" i="1"/>
  <c r="L1551" i="1"/>
  <c r="N1551" i="1" s="1"/>
  <c r="L1430" i="1"/>
  <c r="N1430" i="1" s="1"/>
  <c r="L1166" i="1"/>
  <c r="N1166" i="1" s="1"/>
  <c r="L962" i="1"/>
  <c r="L698" i="1"/>
  <c r="L434" i="1"/>
  <c r="L170" i="1"/>
  <c r="L655" i="1"/>
  <c r="N655" i="1" s="1"/>
  <c r="L391" i="1"/>
  <c r="L187" i="1"/>
  <c r="L7" i="1"/>
  <c r="L414" i="1"/>
  <c r="L246" i="1"/>
  <c r="N246" i="1" s="1"/>
  <c r="L78" i="1"/>
  <c r="N78" i="1" s="1"/>
  <c r="L641" i="1"/>
  <c r="L473" i="1"/>
  <c r="L305" i="1"/>
  <c r="L1371" i="1"/>
  <c r="L1203" i="1"/>
  <c r="L1047" i="1"/>
  <c r="N1047" i="1" s="1"/>
  <c r="L891" i="1"/>
  <c r="L735" i="1"/>
  <c r="L579" i="1"/>
  <c r="L423" i="1"/>
  <c r="L267" i="1"/>
  <c r="L111" i="1"/>
  <c r="N111" i="1" s="1"/>
  <c r="L38" i="1"/>
  <c r="N38" i="1" s="1"/>
  <c r="L1621" i="1"/>
  <c r="L680" i="1"/>
  <c r="L441" i="1"/>
  <c r="L1029" i="1"/>
  <c r="L1400" i="1"/>
  <c r="N1400" i="1" s="1"/>
  <c r="L1507" i="1"/>
  <c r="L45" i="1"/>
  <c r="N45" i="1" s="1"/>
  <c r="L562" i="1"/>
  <c r="L1232" i="1"/>
  <c r="N1232" i="1" s="1"/>
  <c r="L1641" i="1"/>
  <c r="N1641" i="1" s="1"/>
  <c r="L860" i="1"/>
  <c r="L1297" i="1"/>
  <c r="N1297" i="1" s="1"/>
  <c r="L865" i="1"/>
  <c r="L1513" i="1"/>
  <c r="L632" i="1"/>
  <c r="L200" i="1"/>
  <c r="N200" i="1" s="1"/>
  <c r="L1135" i="1"/>
  <c r="L1518" i="1"/>
  <c r="L1062" i="1"/>
  <c r="L630" i="1"/>
  <c r="L1517" i="1"/>
  <c r="L1085" i="1"/>
  <c r="N1085" i="1" s="1"/>
  <c r="L761" i="1"/>
  <c r="N761" i="1" s="1"/>
  <c r="L784" i="1"/>
  <c r="N784" i="1" s="1"/>
  <c r="L124" i="1"/>
  <c r="L1276" i="1"/>
  <c r="L868" i="1"/>
  <c r="L328" i="1"/>
  <c r="L1539" i="1"/>
  <c r="L1418" i="1"/>
  <c r="L1154" i="1"/>
  <c r="L890" i="1"/>
  <c r="L686" i="1"/>
  <c r="L422" i="1"/>
  <c r="N422" i="1" s="1"/>
  <c r="L158" i="1"/>
  <c r="N158" i="1" s="1"/>
  <c r="L643" i="1"/>
  <c r="N643" i="1" s="1"/>
  <c r="L379" i="1"/>
  <c r="L163" i="1"/>
  <c r="L402" i="1"/>
  <c r="L234" i="1"/>
  <c r="N234" i="1" s="1"/>
  <c r="L54" i="1"/>
  <c r="N54" i="1" s="1"/>
  <c r="L629" i="1"/>
  <c r="L461" i="1"/>
  <c r="L293" i="1"/>
  <c r="L1347" i="1"/>
  <c r="L1191" i="1"/>
  <c r="N1191" i="1" s="1"/>
  <c r="L1035" i="1"/>
  <c r="N1035" i="1" s="1"/>
  <c r="L879" i="1"/>
  <c r="N879" i="1" s="1"/>
  <c r="L723" i="1"/>
  <c r="L567" i="1"/>
  <c r="L411" i="1"/>
  <c r="L255" i="1"/>
  <c r="L99" i="1"/>
  <c r="L26" i="1"/>
  <c r="L457" i="1"/>
  <c r="N457" i="1" s="1"/>
  <c r="L313" i="1"/>
  <c r="L169" i="1"/>
  <c r="L25" i="1"/>
  <c r="N25" i="1" s="1"/>
  <c r="L1620" i="1"/>
  <c r="N1620" i="1" s="1"/>
  <c r="L1464" i="1"/>
  <c r="N1464" i="1" s="1"/>
  <c r="L1320" i="1"/>
  <c r="N1320" i="1" s="1"/>
  <c r="L1176" i="1"/>
  <c r="L1032" i="1"/>
  <c r="N1032" i="1" s="1"/>
  <c r="L888" i="1"/>
  <c r="L744" i="1"/>
  <c r="L600" i="1"/>
  <c r="L456" i="1"/>
  <c r="L312" i="1"/>
  <c r="L1692" i="1"/>
  <c r="L1607" i="1"/>
  <c r="N1607" i="1" s="1"/>
  <c r="L1463" i="1"/>
  <c r="N1463" i="1" s="1"/>
  <c r="L1319" i="1"/>
  <c r="N1319" i="1" s="1"/>
  <c r="L1175" i="1"/>
  <c r="L1031" i="1"/>
  <c r="L887" i="1"/>
  <c r="L743" i="1"/>
  <c r="N743" i="1" s="1"/>
  <c r="L599" i="1"/>
  <c r="N599" i="1" s="1"/>
  <c r="L455" i="1"/>
  <c r="N455" i="1" s="1"/>
  <c r="L168" i="1"/>
  <c r="L12" i="1"/>
  <c r="L227" i="1"/>
  <c r="L83" i="1"/>
  <c r="N83" i="1" s="1"/>
  <c r="L790" i="1"/>
  <c r="N790" i="1" s="1"/>
  <c r="L322" i="1"/>
  <c r="N322" i="1" s="1"/>
  <c r="L1558" i="1"/>
  <c r="L873" i="1"/>
  <c r="L1340" i="1"/>
  <c r="L1483" i="1"/>
  <c r="L298" i="1"/>
  <c r="N298" i="1" s="1"/>
  <c r="L1112" i="1"/>
  <c r="L1389" i="1"/>
  <c r="L716" i="1"/>
  <c r="L1273" i="1"/>
  <c r="L841" i="1"/>
  <c r="N841" i="1" s="1"/>
  <c r="L1465" i="1"/>
  <c r="N1465" i="1" s="1"/>
  <c r="L608" i="1"/>
  <c r="N608" i="1" s="1"/>
  <c r="L176" i="1"/>
  <c r="L1111" i="1"/>
  <c r="L1482" i="1"/>
  <c r="L1038" i="1"/>
  <c r="L606" i="1"/>
  <c r="L1493" i="1"/>
  <c r="L1061" i="1"/>
  <c r="L1384" i="1"/>
  <c r="L736" i="1"/>
  <c r="L100" i="1"/>
  <c r="N100" i="1" s="1"/>
  <c r="L1252" i="1"/>
  <c r="N1252" i="1" s="1"/>
  <c r="L844" i="1"/>
  <c r="N844" i="1" s="1"/>
  <c r="L304" i="1"/>
  <c r="L1467" i="1"/>
  <c r="L1406" i="1"/>
  <c r="L1142" i="1"/>
  <c r="L878" i="1"/>
  <c r="N878" i="1" s="1"/>
  <c r="L674" i="1"/>
  <c r="L410" i="1"/>
  <c r="L146" i="1"/>
  <c r="L631" i="1"/>
  <c r="L367" i="1"/>
  <c r="N367" i="1" s="1"/>
  <c r="L151" i="1"/>
  <c r="N151" i="1" s="1"/>
  <c r="L390" i="1"/>
  <c r="L222" i="1"/>
  <c r="L42" i="1"/>
  <c r="N42" i="1" s="1"/>
  <c r="L617" i="1"/>
  <c r="L449" i="1"/>
  <c r="L281" i="1"/>
  <c r="N281" i="1" s="1"/>
  <c r="L1335" i="1"/>
  <c r="L1179" i="1"/>
  <c r="L1023" i="1"/>
  <c r="L867" i="1"/>
  <c r="L711" i="1"/>
  <c r="N711" i="1" s="1"/>
  <c r="L555" i="1"/>
  <c r="N555" i="1" s="1"/>
  <c r="L399" i="1"/>
  <c r="N399" i="1" s="1"/>
  <c r="L243" i="1"/>
  <c r="L87" i="1"/>
  <c r="L14" i="1"/>
  <c r="L445" i="1"/>
  <c r="L301" i="1"/>
  <c r="N301" i="1" s="1"/>
  <c r="L157" i="1"/>
  <c r="L13" i="1"/>
  <c r="L1596" i="1"/>
  <c r="N1596" i="1" s="1"/>
  <c r="L1452" i="1"/>
  <c r="L1308" i="1"/>
  <c r="L1164" i="1"/>
  <c r="N1164" i="1" s="1"/>
  <c r="L1020" i="1"/>
  <c r="N1020" i="1" s="1"/>
  <c r="L876" i="1"/>
  <c r="N876" i="1" s="1"/>
  <c r="L732" i="1"/>
  <c r="L588" i="1"/>
  <c r="L444" i="1"/>
  <c r="L300" i="1"/>
  <c r="N300" i="1" s="1"/>
  <c r="L1668" i="1"/>
  <c r="N1668" i="1" s="1"/>
  <c r="L1595" i="1"/>
  <c r="L1451" i="1"/>
  <c r="L1307" i="1"/>
  <c r="L1163" i="1"/>
  <c r="N1163" i="1" s="1"/>
  <c r="L1019" i="1"/>
  <c r="N1019" i="1" s="1"/>
  <c r="L875" i="1"/>
  <c r="N875" i="1" s="1"/>
  <c r="L731" i="1"/>
  <c r="L587" i="1"/>
  <c r="L443" i="1"/>
  <c r="N443" i="1" s="1"/>
  <c r="L156" i="1"/>
  <c r="L215" i="1"/>
  <c r="L490" i="1"/>
  <c r="L1378" i="1"/>
  <c r="L429" i="1"/>
  <c r="L1148" i="1"/>
  <c r="L1078" i="1"/>
  <c r="N1078" i="1" s="1"/>
  <c r="L1412" i="1"/>
  <c r="N1412" i="1" s="1"/>
  <c r="L1509" i="1"/>
  <c r="N1509" i="1" s="1"/>
  <c r="L1699" i="1"/>
  <c r="L657" i="1"/>
  <c r="L1576" i="1"/>
  <c r="L1189" i="1"/>
  <c r="L757" i="1"/>
  <c r="N757" i="1" s="1"/>
  <c r="L524" i="1"/>
  <c r="L92" i="1"/>
  <c r="L1027" i="1"/>
  <c r="L1386" i="1"/>
  <c r="L954" i="1"/>
  <c r="N954" i="1" s="1"/>
  <c r="L522" i="1"/>
  <c r="N522" i="1" s="1"/>
  <c r="L1409" i="1"/>
  <c r="N1409" i="1" s="1"/>
  <c r="L1049" i="1"/>
  <c r="L1360" i="1"/>
  <c r="L688" i="1"/>
  <c r="L1228" i="1"/>
  <c r="L700" i="1"/>
  <c r="N700" i="1" s="1"/>
  <c r="L280" i="1"/>
  <c r="L1455" i="1"/>
  <c r="L1394" i="1"/>
  <c r="L1130" i="1"/>
  <c r="L866" i="1"/>
  <c r="N866" i="1" s="1"/>
  <c r="L602" i="1"/>
  <c r="N602" i="1" s="1"/>
  <c r="L398" i="1"/>
  <c r="L134" i="1"/>
  <c r="L619" i="1"/>
  <c r="L355" i="1"/>
  <c r="L139" i="1"/>
  <c r="L378" i="1"/>
  <c r="L198" i="1"/>
  <c r="L30" i="1"/>
  <c r="L605" i="1"/>
  <c r="L437" i="1"/>
  <c r="L1323" i="1"/>
  <c r="N1323" i="1" s="1"/>
  <c r="L1167" i="1"/>
  <c r="N1167" i="1" s="1"/>
  <c r="L1011" i="1"/>
  <c r="N1011" i="1" s="1"/>
  <c r="L855" i="1"/>
  <c r="L699" i="1"/>
  <c r="L543" i="1"/>
  <c r="N543" i="1" s="1"/>
  <c r="L387" i="1"/>
  <c r="L231" i="1"/>
  <c r="L75" i="1"/>
  <c r="L433" i="1"/>
  <c r="L289" i="1"/>
  <c r="N289" i="1" s="1"/>
  <c r="L145" i="1"/>
  <c r="L1584" i="1"/>
  <c r="N1584" i="1" s="1"/>
  <c r="L1440" i="1"/>
  <c r="N1440" i="1" s="1"/>
  <c r="L1296" i="1"/>
  <c r="N1296" i="1" s="1"/>
  <c r="L1152" i="1"/>
  <c r="N1152" i="1" s="1"/>
  <c r="L1008" i="1"/>
  <c r="L864" i="1"/>
  <c r="N864" i="1" s="1"/>
  <c r="L720" i="1"/>
  <c r="N720" i="1" s="1"/>
  <c r="L576" i="1"/>
  <c r="N576" i="1" s="1"/>
  <c r="L432" i="1"/>
  <c r="N432" i="1" s="1"/>
  <c r="L288" i="1"/>
  <c r="L1644" i="1"/>
  <c r="L1583" i="1"/>
  <c r="L1439" i="1"/>
  <c r="N1439" i="1" s="1"/>
  <c r="L1295" i="1"/>
  <c r="N1295" i="1" s="1"/>
  <c r="L1151" i="1"/>
  <c r="N1151" i="1" s="1"/>
  <c r="L1007" i="1"/>
  <c r="L863" i="1"/>
  <c r="L719" i="1"/>
  <c r="L575" i="1"/>
  <c r="L431" i="1"/>
  <c r="N431" i="1" s="1"/>
  <c r="L1317" i="1"/>
  <c r="L1606" i="1"/>
  <c r="L670" i="1"/>
  <c r="L369" i="1"/>
  <c r="N369" i="1" s="1"/>
  <c r="L1100" i="1"/>
  <c r="N1100" i="1" s="1"/>
  <c r="L946" i="1"/>
  <c r="L1352" i="1"/>
  <c r="N1352" i="1" s="1"/>
  <c r="L1377" i="1"/>
  <c r="L1651" i="1"/>
  <c r="L585" i="1"/>
  <c r="L1528" i="1"/>
  <c r="L1177" i="1"/>
  <c r="N1177" i="1" s="1"/>
  <c r="L745" i="1"/>
  <c r="L512" i="1"/>
  <c r="N512" i="1" s="1"/>
  <c r="L80" i="1"/>
  <c r="L1015" i="1"/>
  <c r="L1374" i="1"/>
  <c r="N1374" i="1" s="1"/>
  <c r="L942" i="1"/>
  <c r="N942" i="1" s="1"/>
  <c r="L1387" i="1"/>
  <c r="N1387" i="1" s="1"/>
  <c r="L1397" i="1"/>
  <c r="L977" i="1"/>
  <c r="L1312" i="1"/>
  <c r="L676" i="1"/>
  <c r="L1204" i="1"/>
  <c r="N1204" i="1" s="1"/>
  <c r="L664" i="1"/>
  <c r="L256" i="1"/>
  <c r="L1586" i="1"/>
  <c r="L1322" i="1"/>
  <c r="L1118" i="1"/>
  <c r="N1118" i="1" s="1"/>
  <c r="L854" i="1"/>
  <c r="N854" i="1" s="1"/>
  <c r="L590" i="1"/>
  <c r="N590" i="1" s="1"/>
  <c r="L386" i="1"/>
  <c r="L811" i="1"/>
  <c r="L547" i="1"/>
  <c r="L343" i="1"/>
  <c r="L115" i="1"/>
  <c r="N115" i="1" s="1"/>
  <c r="L366" i="1"/>
  <c r="L186" i="1"/>
  <c r="L6" i="1"/>
  <c r="L593" i="1"/>
  <c r="L425" i="1"/>
  <c r="N425" i="1" s="1"/>
  <c r="L1311" i="1"/>
  <c r="N1311" i="1" s="1"/>
  <c r="L1155" i="1"/>
  <c r="N1155" i="1" s="1"/>
  <c r="L999" i="1"/>
  <c r="L843" i="1"/>
  <c r="L687" i="1"/>
  <c r="L531" i="1"/>
  <c r="L375" i="1"/>
  <c r="N375" i="1" s="1"/>
  <c r="L219" i="1"/>
  <c r="L51" i="1"/>
  <c r="L421" i="1"/>
  <c r="L277" i="1"/>
  <c r="N277" i="1" s="1"/>
  <c r="L133" i="1"/>
  <c r="L1572" i="1"/>
  <c r="N1572" i="1" s="1"/>
  <c r="L1428" i="1"/>
  <c r="N1428" i="1" s="1"/>
  <c r="L1284" i="1"/>
  <c r="L1140" i="1"/>
  <c r="N1140" i="1" s="1"/>
  <c r="L996" i="1"/>
  <c r="L852" i="1"/>
  <c r="N852" i="1" s="1"/>
  <c r="L708" i="1"/>
  <c r="N708" i="1" s="1"/>
  <c r="L564" i="1"/>
  <c r="N564" i="1" s="1"/>
  <c r="L420" i="1"/>
  <c r="N420" i="1" s="1"/>
  <c r="L276" i="1"/>
  <c r="M587" i="1"/>
  <c r="M1211" i="1"/>
  <c r="M348" i="1"/>
  <c r="M1308" i="1"/>
  <c r="M553" i="1"/>
  <c r="M220" i="1"/>
  <c r="M485" i="1"/>
  <c r="M1157" i="1"/>
  <c r="L233" i="1"/>
  <c r="N233" i="1" s="1"/>
  <c r="M930" i="1"/>
  <c r="M187" i="1"/>
  <c r="M1183" i="1"/>
  <c r="M932" i="1"/>
  <c r="M237" i="1"/>
  <c r="M202" i="1"/>
  <c r="M697" i="1"/>
  <c r="L563" i="1"/>
  <c r="L900" i="1"/>
  <c r="N900" i="1" s="1"/>
  <c r="M734" i="1"/>
  <c r="L1264" i="1"/>
  <c r="M623" i="1"/>
  <c r="M72" i="1"/>
  <c r="M1176" i="1"/>
  <c r="M88" i="1"/>
  <c r="M677" i="1"/>
  <c r="M966" i="1"/>
  <c r="M335" i="1"/>
  <c r="M1115" i="1"/>
  <c r="M264" i="1"/>
  <c r="M888" i="1"/>
  <c r="M145" i="1"/>
  <c r="M625" i="1"/>
  <c r="M122" i="1"/>
  <c r="M124" i="1"/>
  <c r="M233" i="1"/>
  <c r="M389" i="1"/>
  <c r="M545" i="1"/>
  <c r="M713" i="1"/>
  <c r="M881" i="1"/>
  <c r="M1049" i="1"/>
  <c r="M1217" i="1"/>
  <c r="M1409" i="1"/>
  <c r="M1613" i="1"/>
  <c r="L113" i="1"/>
  <c r="N113" i="1" s="1"/>
  <c r="M78" i="1"/>
  <c r="M294" i="1"/>
  <c r="M522" i="1"/>
  <c r="M786" i="1"/>
  <c r="M990" i="1"/>
  <c r="M1266" i="1"/>
  <c r="M19" i="1"/>
  <c r="M307" i="1"/>
  <c r="M511" i="1"/>
  <c r="M775" i="1"/>
  <c r="M1039" i="1"/>
  <c r="M1243" i="1"/>
  <c r="M44" i="1"/>
  <c r="M320" i="1"/>
  <c r="M584" i="1"/>
  <c r="M788" i="1"/>
  <c r="M1052" i="1"/>
  <c r="M1316" i="1"/>
  <c r="M1520" i="1"/>
  <c r="M93" i="1"/>
  <c r="M357" i="1"/>
  <c r="M621" i="1"/>
  <c r="M825" i="1"/>
  <c r="M58" i="1"/>
  <c r="M322" i="1"/>
  <c r="M1667" i="1"/>
  <c r="M1212" i="1"/>
  <c r="M1692" i="1"/>
  <c r="M290" i="1"/>
  <c r="M255" i="1"/>
  <c r="M687" i="1"/>
  <c r="L323" i="1"/>
  <c r="N323" i="1" s="1"/>
  <c r="L755" i="1"/>
  <c r="N755" i="1" s="1"/>
  <c r="L1187" i="1"/>
  <c r="L1619" i="1"/>
  <c r="N1619" i="1" s="1"/>
  <c r="L552" i="1"/>
  <c r="L1128" i="1"/>
  <c r="N1128" i="1" s="1"/>
  <c r="M817" i="1"/>
  <c r="M1393" i="1"/>
  <c r="L265" i="1"/>
  <c r="N265" i="1" s="1"/>
  <c r="M962" i="1"/>
  <c r="M1275" i="1"/>
  <c r="M388" i="1"/>
  <c r="L103" i="1"/>
  <c r="N103" i="1" s="1"/>
  <c r="L112" i="1"/>
  <c r="N112" i="1" s="1"/>
  <c r="L1350" i="1"/>
  <c r="L1256" i="1"/>
  <c r="M263" i="1"/>
  <c r="M899" i="1"/>
  <c r="M36" i="1"/>
  <c r="M672" i="1"/>
  <c r="M828" i="1"/>
  <c r="M85" i="1"/>
  <c r="M26" i="1"/>
  <c r="M376" i="1"/>
  <c r="M641" i="1"/>
  <c r="M1325" i="1"/>
  <c r="M222" i="1"/>
  <c r="M1146" i="1"/>
  <c r="M655" i="1"/>
  <c r="M464" i="1"/>
  <c r="M1460" i="1"/>
  <c r="M969" i="1"/>
  <c r="M1548" i="1"/>
  <c r="M927" i="1"/>
  <c r="L324" i="1"/>
  <c r="N324" i="1" s="1"/>
  <c r="L1153" i="1"/>
  <c r="N1153" i="1" s="1"/>
  <c r="M779" i="1"/>
  <c r="M396" i="1"/>
  <c r="M277" i="1"/>
  <c r="M365" i="1"/>
  <c r="M223" i="1"/>
  <c r="M23" i="1"/>
  <c r="M647" i="1"/>
  <c r="M1439" i="1"/>
  <c r="M576" i="1"/>
  <c r="M1368" i="1"/>
  <c r="M75" i="1"/>
  <c r="M35" i="1"/>
  <c r="M503" i="1"/>
  <c r="M971" i="1"/>
  <c r="M120" i="1"/>
  <c r="M588" i="1"/>
  <c r="M1224" i="1"/>
  <c r="M325" i="1"/>
  <c r="M134" i="1"/>
  <c r="M292" i="1"/>
  <c r="M569" i="1"/>
  <c r="M1061" i="1"/>
  <c r="M1625" i="1"/>
  <c r="M342" i="1"/>
  <c r="M1074" i="1"/>
  <c r="M1278" i="1"/>
  <c r="M319" i="1"/>
  <c r="M523" i="1"/>
  <c r="M787" i="1"/>
  <c r="M1051" i="1"/>
  <c r="M1315" i="1"/>
  <c r="M56" i="1"/>
  <c r="M332" i="1"/>
  <c r="M800" i="1"/>
  <c r="M1328" i="1"/>
  <c r="M1592" i="1"/>
  <c r="M105" i="1"/>
  <c r="M369" i="1"/>
  <c r="M633" i="1"/>
  <c r="M837" i="1"/>
  <c r="M70" i="1"/>
  <c r="M334" i="1"/>
  <c r="L35" i="1"/>
  <c r="M1392" i="1"/>
  <c r="L36" i="1"/>
  <c r="N36" i="1" s="1"/>
  <c r="M362" i="1"/>
  <c r="M267" i="1"/>
  <c r="M699" i="1"/>
  <c r="L335" i="1"/>
  <c r="N335" i="1" s="1"/>
  <c r="L767" i="1"/>
  <c r="N767" i="1" s="1"/>
  <c r="L1199" i="1"/>
  <c r="L1631" i="1"/>
  <c r="N1631" i="1" s="1"/>
  <c r="L612" i="1"/>
  <c r="L1188" i="1"/>
  <c r="N1188" i="1" s="1"/>
  <c r="M877" i="1"/>
  <c r="M1453" i="1"/>
  <c r="L325" i="1"/>
  <c r="M1022" i="1"/>
  <c r="M1431" i="1"/>
  <c r="M544" i="1"/>
  <c r="L331" i="1"/>
  <c r="N331" i="1" s="1"/>
  <c r="L640" i="1"/>
  <c r="L991" i="1"/>
  <c r="L646" i="1"/>
  <c r="L675" i="1"/>
  <c r="M155" i="1"/>
  <c r="M935" i="1"/>
  <c r="M240" i="1"/>
  <c r="M708" i="1"/>
  <c r="M1020" i="1"/>
  <c r="M433" i="1"/>
  <c r="M86" i="1"/>
  <c r="M256" i="1"/>
  <c r="M521" i="1"/>
  <c r="M1193" i="1"/>
  <c r="M1518" i="1"/>
  <c r="M491" i="1"/>
  <c r="M959" i="1"/>
  <c r="M108" i="1"/>
  <c r="M732" i="1"/>
  <c r="M1200" i="1"/>
  <c r="M313" i="1"/>
  <c r="M280" i="1"/>
  <c r="M191" i="1"/>
  <c r="M659" i="1"/>
  <c r="M1127" i="1"/>
  <c r="M1451" i="1"/>
  <c r="M432" i="1"/>
  <c r="M900" i="1"/>
  <c r="M1380" i="1"/>
  <c r="M481" i="1"/>
  <c r="M87" i="1"/>
  <c r="M65" i="1"/>
  <c r="M401" i="1"/>
  <c r="M893" i="1"/>
  <c r="M1433" i="1"/>
  <c r="M90" i="1"/>
  <c r="M534" i="1"/>
  <c r="M31" i="1"/>
  <c r="M596" i="1"/>
  <c r="M47" i="1"/>
  <c r="M359" i="1"/>
  <c r="M671" i="1"/>
  <c r="M983" i="1"/>
  <c r="M1463" i="1"/>
  <c r="M288" i="1"/>
  <c r="M600" i="1"/>
  <c r="M912" i="1"/>
  <c r="M1236" i="1"/>
  <c r="W34" i="1" s="1"/>
  <c r="M181" i="1"/>
  <c r="M493" i="1"/>
  <c r="M146" i="1"/>
  <c r="M148" i="1"/>
  <c r="M77" i="1"/>
  <c r="M581" i="1"/>
  <c r="M905" i="1"/>
  <c r="M1253" i="1"/>
  <c r="M1637" i="1"/>
  <c r="M102" i="1"/>
  <c r="M354" i="1"/>
  <c r="M810" i="1"/>
  <c r="M1086" i="1"/>
  <c r="M1290" i="1"/>
  <c r="M43" i="1"/>
  <c r="M331" i="1"/>
  <c r="M595" i="1"/>
  <c r="M799" i="1"/>
  <c r="M1327" i="1"/>
  <c r="M68" i="1"/>
  <c r="M344" i="1"/>
  <c r="M608" i="1"/>
  <c r="M872" i="1"/>
  <c r="M1076" i="1"/>
  <c r="M1340" i="1"/>
  <c r="M1604" i="1"/>
  <c r="M117" i="1"/>
  <c r="M381" i="1"/>
  <c r="M645" i="1"/>
  <c r="M909" i="1"/>
  <c r="M82" i="1"/>
  <c r="M346" i="1"/>
  <c r="L47" i="1"/>
  <c r="N47" i="1" s="1"/>
  <c r="M1404" i="1"/>
  <c r="L48" i="1"/>
  <c r="N48" i="1" s="1"/>
  <c r="M374" i="1"/>
  <c r="M339" i="1"/>
  <c r="M771" i="1"/>
  <c r="L407" i="1"/>
  <c r="L839" i="1"/>
  <c r="L1271" i="1"/>
  <c r="N1271" i="1" s="1"/>
  <c r="L1703" i="1"/>
  <c r="L624" i="1"/>
  <c r="L1200" i="1"/>
  <c r="N1200" i="1" s="1"/>
  <c r="M889" i="1"/>
  <c r="M1465" i="1"/>
  <c r="L337" i="1"/>
  <c r="N337" i="1" s="1"/>
  <c r="M1034" i="1"/>
  <c r="M1587" i="1"/>
  <c r="M700" i="1"/>
  <c r="L535" i="1"/>
  <c r="L1180" i="1"/>
  <c r="L56" i="1"/>
  <c r="N56" i="1" s="1"/>
  <c r="L1052" i="1"/>
  <c r="N1052" i="1" s="1"/>
  <c r="M1091" i="1"/>
  <c r="M552" i="1"/>
  <c r="M1344" i="1"/>
  <c r="M51" i="1"/>
  <c r="M857" i="1"/>
  <c r="M1242" i="1"/>
  <c r="M179" i="1"/>
  <c r="M803" i="1"/>
  <c r="M1271" i="1"/>
  <c r="M420" i="1"/>
  <c r="M1044" i="1"/>
  <c r="M469" i="1"/>
  <c r="M53" i="1"/>
  <c r="M347" i="1"/>
  <c r="M815" i="1"/>
  <c r="M1295" i="1"/>
  <c r="M276" i="1"/>
  <c r="M744" i="1"/>
  <c r="M1056" i="1"/>
  <c r="M169" i="1"/>
  <c r="M637" i="1"/>
  <c r="M136" i="1"/>
  <c r="M245" i="1"/>
  <c r="M725" i="1"/>
  <c r="M1241" i="1"/>
  <c r="L161" i="1"/>
  <c r="M798" i="1"/>
  <c r="M1064" i="1"/>
  <c r="M203" i="1"/>
  <c r="M515" i="1"/>
  <c r="M827" i="1"/>
  <c r="M1151" i="1"/>
  <c r="M1307" i="1"/>
  <c r="M132" i="1"/>
  <c r="M444" i="1"/>
  <c r="M756" i="1"/>
  <c r="M1068" i="1"/>
  <c r="M25" i="1"/>
  <c r="M337" i="1"/>
  <c r="M649" i="1"/>
  <c r="M99" i="1"/>
  <c r="M304" i="1"/>
  <c r="M257" i="1"/>
  <c r="M425" i="1"/>
  <c r="M737" i="1"/>
  <c r="M1073" i="1"/>
  <c r="M1445" i="1"/>
  <c r="L173" i="1"/>
  <c r="N173" i="1" s="1"/>
  <c r="M546" i="1"/>
  <c r="M1063" i="1"/>
  <c r="M59" i="1"/>
  <c r="M215" i="1"/>
  <c r="M371" i="1"/>
  <c r="M527" i="1"/>
  <c r="M683" i="1"/>
  <c r="M839" i="1"/>
  <c r="M1007" i="1"/>
  <c r="M1163" i="1"/>
  <c r="M1319" i="1"/>
  <c r="M1475" i="1"/>
  <c r="M144" i="1"/>
  <c r="M300" i="1"/>
  <c r="M456" i="1"/>
  <c r="M612" i="1"/>
  <c r="M768" i="1"/>
  <c r="M924" i="1"/>
  <c r="M1080" i="1"/>
  <c r="M1260" i="1"/>
  <c r="M37" i="1"/>
  <c r="M193" i="1"/>
  <c r="M349" i="1"/>
  <c r="M505" i="1"/>
  <c r="M661" i="1"/>
  <c r="M158" i="1"/>
  <c r="M111" i="1"/>
  <c r="M160" i="1"/>
  <c r="M316" i="1"/>
  <c r="M101" i="1"/>
  <c r="M281" i="1"/>
  <c r="M437" i="1"/>
  <c r="M593" i="1"/>
  <c r="M749" i="1"/>
  <c r="M917" i="1"/>
  <c r="M1097" i="1"/>
  <c r="M1265" i="1"/>
  <c r="M1457" i="1"/>
  <c r="M1649" i="1"/>
  <c r="L185" i="1"/>
  <c r="N185" i="1" s="1"/>
  <c r="M126" i="1"/>
  <c r="M366" i="1"/>
  <c r="M558" i="1"/>
  <c r="M822" i="1"/>
  <c r="M1098" i="1"/>
  <c r="M1362" i="1"/>
  <c r="M55" i="1"/>
  <c r="M343" i="1"/>
  <c r="M607" i="1"/>
  <c r="M811" i="1"/>
  <c r="M1075" i="1"/>
  <c r="M1339" i="1"/>
  <c r="M152" i="1"/>
  <c r="M356" i="1"/>
  <c r="M620" i="1"/>
  <c r="M884" i="1"/>
  <c r="M1088" i="1"/>
  <c r="M1352" i="1"/>
  <c r="M1616" i="1"/>
  <c r="M189" i="1"/>
  <c r="M393" i="1"/>
  <c r="M657" i="1"/>
  <c r="M921" i="1"/>
  <c r="M94" i="1"/>
  <c r="M1499" i="1"/>
  <c r="L59" i="1"/>
  <c r="N59" i="1" s="1"/>
  <c r="M1440" i="1"/>
  <c r="L120" i="1"/>
  <c r="N120" i="1" s="1"/>
  <c r="M386" i="1"/>
  <c r="M351" i="1"/>
  <c r="M783" i="1"/>
  <c r="L419" i="1"/>
  <c r="L851" i="1"/>
  <c r="L1283" i="1"/>
  <c r="L1608" i="1"/>
  <c r="L696" i="1"/>
  <c r="N696" i="1" s="1"/>
  <c r="L1272" i="1"/>
  <c r="N1272" i="1" s="1"/>
  <c r="M961" i="1"/>
  <c r="M1537" i="1"/>
  <c r="L409" i="1"/>
  <c r="M1106" i="1"/>
  <c r="L39" i="1"/>
  <c r="N39" i="1" s="1"/>
  <c r="M880" i="1"/>
  <c r="L799" i="1"/>
  <c r="N799" i="1" s="1"/>
  <c r="L488" i="1"/>
  <c r="L225" i="1"/>
  <c r="M1306" i="1"/>
  <c r="M1114" i="1"/>
  <c r="M1198" i="1"/>
  <c r="M874" i="1"/>
  <c r="M730" i="1"/>
  <c r="M1377" i="1"/>
  <c r="M1233" i="1"/>
  <c r="M1089" i="1"/>
  <c r="M1492" i="1"/>
  <c r="M1324" i="1"/>
  <c r="M1168" i="1"/>
  <c r="M1024" i="1"/>
  <c r="M1648" i="1"/>
  <c r="M574" i="1"/>
  <c r="M430" i="1"/>
  <c r="M1591" i="1"/>
  <c r="M1626" i="1"/>
  <c r="M772" i="1"/>
  <c r="M1258" i="1"/>
  <c r="M1162" i="1"/>
  <c r="M1654" i="1"/>
  <c r="M1665" i="1"/>
  <c r="M1594" i="1"/>
  <c r="M1570" i="1"/>
  <c r="M862" i="1"/>
  <c r="M718" i="1"/>
  <c r="M1365" i="1"/>
  <c r="M1221" i="1"/>
  <c r="M1077" i="1"/>
  <c r="M1468" i="1"/>
  <c r="M1312" i="1"/>
  <c r="M1156" i="1"/>
  <c r="M1012" i="1"/>
  <c r="M1624" i="1"/>
  <c r="M562" i="1"/>
  <c r="M418" i="1"/>
  <c r="M1210" i="1"/>
  <c r="M1618" i="1"/>
  <c r="M1666" i="1"/>
  <c r="M1126" i="1"/>
  <c r="M1546" i="1"/>
  <c r="M1629" i="1"/>
  <c r="M1366" i="1"/>
  <c r="M1378" i="1"/>
  <c r="M1689" i="1"/>
  <c r="M994" i="1"/>
  <c r="M850" i="1"/>
  <c r="M706" i="1"/>
  <c r="M1353" i="1"/>
  <c r="M1209" i="1"/>
  <c r="M1065" i="1"/>
  <c r="M1456" i="1"/>
  <c r="M1288" i="1"/>
  <c r="M1144" i="1"/>
  <c r="M1000" i="1"/>
  <c r="M1600" i="1"/>
  <c r="M550" i="1"/>
  <c r="M406" i="1"/>
  <c r="M1174" i="1"/>
  <c r="M1450" i="1"/>
  <c r="M1701" i="1"/>
  <c r="M1413" i="1"/>
  <c r="M1018" i="1"/>
  <c r="M1486" i="1"/>
  <c r="M1593" i="1"/>
  <c r="M1054" i="1"/>
  <c r="M1066" i="1"/>
  <c r="M1641" i="1"/>
  <c r="M982" i="1"/>
  <c r="M838" i="1"/>
  <c r="M694" i="1"/>
  <c r="M1341" i="1"/>
  <c r="M1197" i="1"/>
  <c r="M1053" i="1"/>
  <c r="M1432" i="1"/>
  <c r="M1276" i="1"/>
  <c r="M1132" i="1"/>
  <c r="M988" i="1"/>
  <c r="M1576" i="1"/>
  <c r="M538" i="1"/>
  <c r="M394" i="1"/>
  <c r="M1138" i="1"/>
  <c r="M1102" i="1"/>
  <c r="M1582" i="1"/>
  <c r="M1606" i="1"/>
  <c r="M1642" i="1"/>
  <c r="M1402" i="1"/>
  <c r="M1569" i="1"/>
  <c r="M1690" i="1"/>
  <c r="M1581" i="1"/>
  <c r="M970" i="1"/>
  <c r="M826" i="1"/>
  <c r="M682" i="1"/>
  <c r="M1329" i="1"/>
  <c r="M1185" i="1"/>
  <c r="M1041" i="1"/>
  <c r="M1684" i="1"/>
  <c r="M1420" i="1"/>
  <c r="M1264" i="1"/>
  <c r="M1120" i="1"/>
  <c r="M976" i="1"/>
  <c r="M1552" i="1"/>
  <c r="M526" i="1"/>
  <c r="M382" i="1"/>
  <c r="M1687" i="1"/>
  <c r="M1543" i="1"/>
  <c r="M1578" i="1"/>
  <c r="M868" i="1"/>
  <c r="M724" i="1"/>
  <c r="M580" i="1"/>
  <c r="M436" i="1"/>
  <c r="M1623" i="1"/>
  <c r="M1479" i="1"/>
  <c r="M1335" i="1"/>
  <c r="M1191" i="1"/>
  <c r="M1042" i="1"/>
  <c r="M1438" i="1"/>
  <c r="M1462" i="1"/>
  <c r="M1534" i="1"/>
  <c r="M1533" i="1"/>
  <c r="M1678" i="1"/>
  <c r="M1246" i="1"/>
  <c r="M1090" i="1"/>
  <c r="M1498" i="1"/>
  <c r="M1630" i="1"/>
  <c r="M1006" i="1"/>
  <c r="M1426" i="1"/>
  <c r="M1270" i="1"/>
  <c r="M1509" i="1"/>
  <c r="M1078" i="1"/>
  <c r="M934" i="1"/>
  <c r="M790" i="1"/>
  <c r="M646" i="1"/>
  <c r="M1293" i="1"/>
  <c r="M1149" i="1"/>
  <c r="M1612" i="1"/>
  <c r="M1522" i="1"/>
  <c r="M1474" i="1"/>
  <c r="M1318" i="1"/>
  <c r="M1186" i="1"/>
  <c r="M1485" i="1"/>
  <c r="M1677" i="1"/>
  <c r="M1653" i="1"/>
  <c r="M910" i="1"/>
  <c r="M766" i="1"/>
  <c r="M622" i="1"/>
  <c r="M1269" i="1"/>
  <c r="M1125" i="1"/>
  <c r="M1342" i="1"/>
  <c r="M1510" i="1"/>
  <c r="M1234" i="1"/>
  <c r="M1030" i="1"/>
  <c r="M1425" i="1"/>
  <c r="M1449" i="1"/>
  <c r="M1461" i="1"/>
  <c r="M886" i="1"/>
  <c r="M742" i="1"/>
  <c r="M1389" i="1"/>
  <c r="M1245" i="1"/>
  <c r="M1101" i="1"/>
  <c r="M898" i="1"/>
  <c r="M1257" i="1"/>
  <c r="M1564" i="1"/>
  <c r="M1228" i="1"/>
  <c r="M964" i="1"/>
  <c r="M586" i="1"/>
  <c r="M1627" i="1"/>
  <c r="M1686" i="1"/>
  <c r="M1386" i="1"/>
  <c r="M856" i="1"/>
  <c r="M688" i="1"/>
  <c r="M532" i="1"/>
  <c r="M1575" i="1"/>
  <c r="M1419" i="1"/>
  <c r="M1263" i="1"/>
  <c r="M1670" i="1"/>
  <c r="M1526" i="1"/>
  <c r="M1382" i="1"/>
  <c r="M1238" i="1"/>
  <c r="M1094" i="1"/>
  <c r="M950" i="1"/>
  <c r="M806" i="1"/>
  <c r="M662" i="1"/>
  <c r="M1669" i="1"/>
  <c r="M1525" i="1"/>
  <c r="M1381" i="1"/>
  <c r="M1237" i="1"/>
  <c r="M1093" i="1"/>
  <c r="M949" i="1"/>
  <c r="M805" i="1"/>
  <c r="M1047" i="1"/>
  <c r="M903" i="1"/>
  <c r="M759" i="1"/>
  <c r="M615" i="1"/>
  <c r="M471" i="1"/>
  <c r="M327" i="1"/>
  <c r="M183" i="1"/>
  <c r="M494" i="1"/>
  <c r="M350" i="1"/>
  <c r="M757" i="1"/>
  <c r="M1656" i="1"/>
  <c r="M1512" i="1"/>
  <c r="M1583" i="1"/>
  <c r="M298" i="1"/>
  <c r="M154" i="1"/>
  <c r="M10" i="1"/>
  <c r="M897" i="1"/>
  <c r="M753" i="1"/>
  <c r="M609" i="1"/>
  <c r="M465" i="1"/>
  <c r="M321" i="1"/>
  <c r="M177" i="1"/>
  <c r="M9" i="1"/>
  <c r="M1580" i="1"/>
  <c r="M1436" i="1"/>
  <c r="M1292" i="1"/>
  <c r="M1148" i="1"/>
  <c r="M1004" i="1"/>
  <c r="M860" i="1"/>
  <c r="M716" i="1"/>
  <c r="M572" i="1"/>
  <c r="M428" i="1"/>
  <c r="M284" i="1"/>
  <c r="M140" i="1"/>
  <c r="M1447" i="1"/>
  <c r="M1303" i="1"/>
  <c r="M1159" i="1"/>
  <c r="M1015" i="1"/>
  <c r="M871" i="1"/>
  <c r="M727" i="1"/>
  <c r="M583" i="1"/>
  <c r="M439" i="1"/>
  <c r="M295" i="1"/>
  <c r="M151" i="1"/>
  <c r="M1506" i="1"/>
  <c r="M1350" i="1"/>
  <c r="M1206" i="1"/>
  <c r="M1062" i="1"/>
  <c r="M906" i="1"/>
  <c r="M762" i="1"/>
  <c r="M618" i="1"/>
  <c r="M474" i="1"/>
  <c r="M330" i="1"/>
  <c r="M186" i="1"/>
  <c r="M30" i="1"/>
  <c r="M1565" i="1"/>
  <c r="M1421" i="1"/>
  <c r="M1277" i="1"/>
  <c r="M1133" i="1"/>
  <c r="M989" i="1"/>
  <c r="M845" i="1"/>
  <c r="M701" i="1"/>
  <c r="M557" i="1"/>
  <c r="M413" i="1"/>
  <c r="M269" i="1"/>
  <c r="M125" i="1"/>
  <c r="M340" i="1"/>
  <c r="M196" i="1"/>
  <c r="M40" i="1"/>
  <c r="M15" i="1"/>
  <c r="M62" i="1"/>
  <c r="M589" i="1"/>
  <c r="M445" i="1"/>
  <c r="M301" i="1"/>
  <c r="M157" i="1"/>
  <c r="M13" i="1"/>
  <c r="M1248" i="1"/>
  <c r="M1092" i="1"/>
  <c r="M948" i="1"/>
  <c r="M804" i="1"/>
  <c r="M660" i="1"/>
  <c r="M516" i="1"/>
  <c r="M372" i="1"/>
  <c r="M228" i="1"/>
  <c r="M84" i="1"/>
  <c r="M1427" i="1"/>
  <c r="M1283" i="1"/>
  <c r="M1139" i="1"/>
  <c r="M995" i="1"/>
  <c r="M851" i="1"/>
  <c r="M707" i="1"/>
  <c r="M563" i="1"/>
  <c r="M419" i="1"/>
  <c r="M275" i="1"/>
  <c r="M131" i="1"/>
  <c r="M1390" i="1"/>
  <c r="M1330" i="1"/>
  <c r="M1545" i="1"/>
  <c r="M1557" i="1"/>
  <c r="M814" i="1"/>
  <c r="M1173" i="1"/>
  <c r="M1540" i="1"/>
  <c r="M1216" i="1"/>
  <c r="M952" i="1"/>
  <c r="M514" i="1"/>
  <c r="M1615" i="1"/>
  <c r="M1674" i="1"/>
  <c r="M1002" i="1"/>
  <c r="M844" i="1"/>
  <c r="M676" i="1"/>
  <c r="M520" i="1"/>
  <c r="M1563" i="1"/>
  <c r="M1407" i="1"/>
  <c r="M1251" i="1"/>
  <c r="M1658" i="1"/>
  <c r="M1514" i="1"/>
  <c r="M1370" i="1"/>
  <c r="M1226" i="1"/>
  <c r="M1082" i="1"/>
  <c r="M938" i="1"/>
  <c r="M794" i="1"/>
  <c r="M650" i="1"/>
  <c r="M1657" i="1"/>
  <c r="M1513" i="1"/>
  <c r="M1369" i="1"/>
  <c r="M1225" i="1"/>
  <c r="M1081" i="1"/>
  <c r="M937" i="1"/>
  <c r="M793" i="1"/>
  <c r="M1035" i="1"/>
  <c r="M891" i="1"/>
  <c r="M747" i="1"/>
  <c r="M603" i="1"/>
  <c r="M459" i="1"/>
  <c r="M315" i="1"/>
  <c r="M171" i="1"/>
  <c r="M482" i="1"/>
  <c r="M338" i="1"/>
  <c r="M745" i="1"/>
  <c r="M1644" i="1"/>
  <c r="M1500" i="1"/>
  <c r="M1571" i="1"/>
  <c r="M286" i="1"/>
  <c r="M142" i="1"/>
  <c r="M1029" i="1"/>
  <c r="M885" i="1"/>
  <c r="M741" i="1"/>
  <c r="M597" i="1"/>
  <c r="M453" i="1"/>
  <c r="M309" i="1"/>
  <c r="M165" i="1"/>
  <c r="M1568" i="1"/>
  <c r="M1424" i="1"/>
  <c r="M1280" i="1"/>
  <c r="M1136" i="1"/>
  <c r="M992" i="1"/>
  <c r="M848" i="1"/>
  <c r="M704" i="1"/>
  <c r="M560" i="1"/>
  <c r="M416" i="1"/>
  <c r="M272" i="1"/>
  <c r="M128" i="1"/>
  <c r="M1435" i="1"/>
  <c r="M1291" i="1"/>
  <c r="M1147" i="1"/>
  <c r="M1003" i="1"/>
  <c r="M859" i="1"/>
  <c r="M715" i="1"/>
  <c r="M571" i="1"/>
  <c r="M427" i="1"/>
  <c r="M283" i="1"/>
  <c r="M139" i="1"/>
  <c r="M1494" i="1"/>
  <c r="M1338" i="1"/>
  <c r="M1194" i="1"/>
  <c r="M1050" i="1"/>
  <c r="M894" i="1"/>
  <c r="M750" i="1"/>
  <c r="M606" i="1"/>
  <c r="M462" i="1"/>
  <c r="M318" i="1"/>
  <c r="M174" i="1"/>
  <c r="M18" i="1"/>
  <c r="M1697" i="1"/>
  <c r="M1553" i="1"/>
  <c r="M1354" i="1"/>
  <c r="M1294" i="1"/>
  <c r="M1521" i="1"/>
  <c r="M1437" i="1"/>
  <c r="M802" i="1"/>
  <c r="M1161" i="1"/>
  <c r="N1161" i="1" s="1"/>
  <c r="M1516" i="1"/>
  <c r="M1204" i="1"/>
  <c r="M940" i="1"/>
  <c r="M502" i="1"/>
  <c r="M1603" i="1"/>
  <c r="M1662" i="1"/>
  <c r="M832" i="1"/>
  <c r="M664" i="1"/>
  <c r="M508" i="1"/>
  <c r="M1551" i="1"/>
  <c r="M1395" i="1"/>
  <c r="M1239" i="1"/>
  <c r="M1646" i="1"/>
  <c r="M1502" i="1"/>
  <c r="M1358" i="1"/>
  <c r="M1214" i="1"/>
  <c r="M1070" i="1"/>
  <c r="M926" i="1"/>
  <c r="M782" i="1"/>
  <c r="M638" i="1"/>
  <c r="M1645" i="1"/>
  <c r="M1501" i="1"/>
  <c r="M1357" i="1"/>
  <c r="M1213" i="1"/>
  <c r="M1069" i="1"/>
  <c r="M925" i="1"/>
  <c r="M781" i="1"/>
  <c r="M1023" i="1"/>
  <c r="M879" i="1"/>
  <c r="M735" i="1"/>
  <c r="M591" i="1"/>
  <c r="M447" i="1"/>
  <c r="M303" i="1"/>
  <c r="M159" i="1"/>
  <c r="M470" i="1"/>
  <c r="M326" i="1"/>
  <c r="M733" i="1"/>
  <c r="M1632" i="1"/>
  <c r="M1488" i="1"/>
  <c r="M1703" i="1"/>
  <c r="M1559" i="1"/>
  <c r="M274" i="1"/>
  <c r="M130" i="1"/>
  <c r="M1017" i="1"/>
  <c r="M873" i="1"/>
  <c r="M729" i="1"/>
  <c r="M585" i="1"/>
  <c r="M441" i="1"/>
  <c r="M297" i="1"/>
  <c r="M153" i="1"/>
  <c r="M1700" i="1"/>
  <c r="M1556" i="1"/>
  <c r="M1412" i="1"/>
  <c r="M1268" i="1"/>
  <c r="M1124" i="1"/>
  <c r="M980" i="1"/>
  <c r="M836" i="1"/>
  <c r="M692" i="1"/>
  <c r="M548" i="1"/>
  <c r="M404" i="1"/>
  <c r="M260" i="1"/>
  <c r="M104" i="1"/>
  <c r="M1423" i="1"/>
  <c r="M1279" i="1"/>
  <c r="M1135" i="1"/>
  <c r="M991" i="1"/>
  <c r="M847" i="1"/>
  <c r="M703" i="1"/>
  <c r="M559" i="1"/>
  <c r="M415" i="1"/>
  <c r="M271" i="1"/>
  <c r="M127" i="1"/>
  <c r="M1482" i="1"/>
  <c r="M1326" i="1"/>
  <c r="M1182" i="1"/>
  <c r="M1038" i="1"/>
  <c r="M882" i="1"/>
  <c r="M738" i="1"/>
  <c r="M594" i="1"/>
  <c r="M450" i="1"/>
  <c r="M306" i="1"/>
  <c r="M162" i="1"/>
  <c r="M6" i="1"/>
  <c r="M1685" i="1"/>
  <c r="M1541" i="1"/>
  <c r="M1397" i="1"/>
  <c r="M1282" i="1"/>
  <c r="M1222" i="1"/>
  <c r="M1497" i="1"/>
  <c r="M778" i="1"/>
  <c r="M1137" i="1"/>
  <c r="M1408" i="1"/>
  <c r="M1192" i="1"/>
  <c r="M928" i="1"/>
  <c r="M490" i="1"/>
  <c r="M1579" i="1"/>
  <c r="M1650" i="1"/>
  <c r="M820" i="1"/>
  <c r="M652" i="1"/>
  <c r="M496" i="1"/>
  <c r="M1695" i="1"/>
  <c r="M1539" i="1"/>
  <c r="M1383" i="1"/>
  <c r="M1227" i="1"/>
  <c r="M1634" i="1"/>
  <c r="M1490" i="1"/>
  <c r="M1346" i="1"/>
  <c r="M1202" i="1"/>
  <c r="M1058" i="1"/>
  <c r="M914" i="1"/>
  <c r="M770" i="1"/>
  <c r="M626" i="1"/>
  <c r="M1633" i="1"/>
  <c r="M1489" i="1"/>
  <c r="M1345" i="1"/>
  <c r="M1201" i="1"/>
  <c r="M1057" i="1"/>
  <c r="M913" i="1"/>
  <c r="M769" i="1"/>
  <c r="M1011" i="1"/>
  <c r="M867" i="1"/>
  <c r="M723" i="1"/>
  <c r="M579" i="1"/>
  <c r="M435" i="1"/>
  <c r="M291" i="1"/>
  <c r="M147" i="1"/>
  <c r="M458" i="1"/>
  <c r="M314" i="1"/>
  <c r="M721" i="1"/>
  <c r="M1620" i="1"/>
  <c r="M1476" i="1"/>
  <c r="M1691" i="1"/>
  <c r="M1547" i="1"/>
  <c r="M262" i="1"/>
  <c r="M118" i="1"/>
  <c r="M1005" i="1"/>
  <c r="M861" i="1"/>
  <c r="M717" i="1"/>
  <c r="M573" i="1"/>
  <c r="M429" i="1"/>
  <c r="M285" i="1"/>
  <c r="M141" i="1"/>
  <c r="M1688" i="1"/>
  <c r="M1544" i="1"/>
  <c r="M1400" i="1"/>
  <c r="M1256" i="1"/>
  <c r="M1112" i="1"/>
  <c r="M968" i="1"/>
  <c r="M824" i="1"/>
  <c r="M680" i="1"/>
  <c r="M536" i="1"/>
  <c r="M392" i="1"/>
  <c r="M248" i="1"/>
  <c r="M92" i="1"/>
  <c r="M1411" i="1"/>
  <c r="M1267" i="1"/>
  <c r="M1123" i="1"/>
  <c r="M979" i="1"/>
  <c r="M835" i="1"/>
  <c r="M691" i="1"/>
  <c r="M547" i="1"/>
  <c r="M403" i="1"/>
  <c r="M259" i="1"/>
  <c r="M103" i="1"/>
  <c r="M1470" i="1"/>
  <c r="M1314" i="1"/>
  <c r="M1170" i="1"/>
  <c r="M1026" i="1"/>
  <c r="M870" i="1"/>
  <c r="M726" i="1"/>
  <c r="M582" i="1"/>
  <c r="M1150" i="1"/>
  <c r="M1473" i="1"/>
  <c r="M1605" i="1"/>
  <c r="M754" i="1"/>
  <c r="M1113" i="1"/>
  <c r="M1396" i="1"/>
  <c r="M1180" i="1"/>
  <c r="M916" i="1"/>
  <c r="M1696" i="1"/>
  <c r="M478" i="1"/>
  <c r="M1567" i="1"/>
  <c r="M1638" i="1"/>
  <c r="M808" i="1"/>
  <c r="M640" i="1"/>
  <c r="M484" i="1"/>
  <c r="M1683" i="1"/>
  <c r="M1527" i="1"/>
  <c r="M1371" i="1"/>
  <c r="M1215" i="1"/>
  <c r="M1622" i="1"/>
  <c r="M1478" i="1"/>
  <c r="M1334" i="1"/>
  <c r="M1190" i="1"/>
  <c r="M1046" i="1"/>
  <c r="M902" i="1"/>
  <c r="M758" i="1"/>
  <c r="M614" i="1"/>
  <c r="M1621" i="1"/>
  <c r="M1477" i="1"/>
  <c r="M1333" i="1"/>
  <c r="M1189" i="1"/>
  <c r="M1045" i="1"/>
  <c r="M901" i="1"/>
  <c r="M999" i="1"/>
  <c r="M855" i="1"/>
  <c r="M711" i="1"/>
  <c r="M567" i="1"/>
  <c r="M423" i="1"/>
  <c r="M279" i="1"/>
  <c r="M135" i="1"/>
  <c r="M446" i="1"/>
  <c r="M302" i="1"/>
  <c r="M709" i="1"/>
  <c r="M1608" i="1"/>
  <c r="M1464" i="1"/>
  <c r="M1679" i="1"/>
  <c r="M1535" i="1"/>
  <c r="M250" i="1"/>
  <c r="M106" i="1"/>
  <c r="M993" i="1"/>
  <c r="M849" i="1"/>
  <c r="M705" i="1"/>
  <c r="M561" i="1"/>
  <c r="M417" i="1"/>
  <c r="M273" i="1"/>
  <c r="M129" i="1"/>
  <c r="M1676" i="1"/>
  <c r="M1532" i="1"/>
  <c r="M1388" i="1"/>
  <c r="M1244" i="1"/>
  <c r="M1100" i="1"/>
  <c r="M956" i="1"/>
  <c r="M812" i="1"/>
  <c r="M668" i="1"/>
  <c r="M524" i="1"/>
  <c r="M380" i="1"/>
  <c r="M236" i="1"/>
  <c r="M80" i="1"/>
  <c r="M1399" i="1"/>
  <c r="M1255" i="1"/>
  <c r="M1111" i="1"/>
  <c r="M967" i="1"/>
  <c r="M823" i="1"/>
  <c r="M679" i="1"/>
  <c r="M535" i="1"/>
  <c r="M391" i="1"/>
  <c r="M247" i="1"/>
  <c r="M91" i="1"/>
  <c r="M1458" i="1"/>
  <c r="M1302" i="1"/>
  <c r="M1158" i="1"/>
  <c r="M1014" i="1"/>
  <c r="M858" i="1"/>
  <c r="M714" i="1"/>
  <c r="M570" i="1"/>
  <c r="M426" i="1"/>
  <c r="M282" i="1"/>
  <c r="M138" i="1"/>
  <c r="M1661" i="1"/>
  <c r="M1517" i="1"/>
  <c r="M1373" i="1"/>
  <c r="M1229" i="1"/>
  <c r="M1085" i="1"/>
  <c r="M941" i="1"/>
  <c r="M797" i="1"/>
  <c r="M1558" i="1"/>
  <c r="M670" i="1"/>
  <c r="M1384" i="1"/>
  <c r="M1108" i="1"/>
  <c r="M1672" i="1"/>
  <c r="M466" i="1"/>
  <c r="M1555" i="1"/>
  <c r="M1614" i="1"/>
  <c r="M796" i="1"/>
  <c r="M628" i="1"/>
  <c r="M472" i="1"/>
  <c r="M1671" i="1"/>
  <c r="M1515" i="1"/>
  <c r="M1359" i="1"/>
  <c r="M1203" i="1"/>
  <c r="M1610" i="1"/>
  <c r="M1414" i="1"/>
  <c r="M658" i="1"/>
  <c r="M1372" i="1"/>
  <c r="M1096" i="1"/>
  <c r="M1528" i="1"/>
  <c r="M454" i="1"/>
  <c r="M1531" i="1"/>
  <c r="M1602" i="1"/>
  <c r="M784" i="1"/>
  <c r="M616" i="1"/>
  <c r="M460" i="1"/>
  <c r="M1659" i="1"/>
  <c r="M1503" i="1"/>
  <c r="M1347" i="1"/>
  <c r="M1179" i="1"/>
  <c r="M1598" i="1"/>
  <c r="M1454" i="1"/>
  <c r="M1310" i="1"/>
  <c r="M1166" i="1"/>
  <c r="M634" i="1"/>
  <c r="M1360" i="1"/>
  <c r="M1084" i="1"/>
  <c r="M1504" i="1"/>
  <c r="M442" i="1"/>
  <c r="M1699" i="1"/>
  <c r="M1519" i="1"/>
  <c r="M1590" i="1"/>
  <c r="M760" i="1"/>
  <c r="M604" i="1"/>
  <c r="M448" i="1"/>
  <c r="M1647" i="1"/>
  <c r="M1491" i="1"/>
  <c r="M1323" i="1"/>
  <c r="M1167" i="1"/>
  <c r="M1586" i="1"/>
  <c r="M1442" i="1"/>
  <c r="M1298" i="1"/>
  <c r="M1154" i="1"/>
  <c r="M1010" i="1"/>
  <c r="M866" i="1"/>
  <c r="M722" i="1"/>
  <c r="M1585" i="1"/>
  <c r="M1441" i="1"/>
  <c r="M1297" i="1"/>
  <c r="M1153" i="1"/>
  <c r="M1009" i="1"/>
  <c r="M865" i="1"/>
  <c r="M1107" i="1"/>
  <c r="M963" i="1"/>
  <c r="M819" i="1"/>
  <c r="M675" i="1"/>
  <c r="M531" i="1"/>
  <c r="M387" i="1"/>
  <c r="M243" i="1"/>
  <c r="M554" i="1"/>
  <c r="M410" i="1"/>
  <c r="M266" i="1"/>
  <c r="M1572" i="1"/>
  <c r="M1428" i="1"/>
  <c r="M1617" i="1"/>
  <c r="M1401" i="1"/>
  <c r="M1348" i="1"/>
  <c r="M1072" i="1"/>
  <c r="M1480" i="1"/>
  <c r="M370" i="1"/>
  <c r="M1675" i="1"/>
  <c r="M1507" i="1"/>
  <c r="M1566" i="1"/>
  <c r="M748" i="1"/>
  <c r="M592" i="1"/>
  <c r="M424" i="1"/>
  <c r="M1635" i="1"/>
  <c r="M1467" i="1"/>
  <c r="M1311" i="1"/>
  <c r="M1155" i="1"/>
  <c r="M1574" i="1"/>
  <c r="M1430" i="1"/>
  <c r="M1286" i="1"/>
  <c r="M1142" i="1"/>
  <c r="M998" i="1"/>
  <c r="M854" i="1"/>
  <c r="M710" i="1"/>
  <c r="M1573" i="1"/>
  <c r="M1429" i="1"/>
  <c r="M1285" i="1"/>
  <c r="M1141" i="1"/>
  <c r="M997" i="1"/>
  <c r="M853" i="1"/>
  <c r="M1095" i="1"/>
  <c r="M951" i="1"/>
  <c r="M807" i="1"/>
  <c r="M663" i="1"/>
  <c r="M519" i="1"/>
  <c r="M375" i="1"/>
  <c r="M231" i="1"/>
  <c r="M542" i="1"/>
  <c r="M398" i="1"/>
  <c r="M254" i="1"/>
  <c r="M1704" i="1"/>
  <c r="M1560" i="1"/>
  <c r="M1416" i="1"/>
  <c r="M1702" i="1"/>
  <c r="M958" i="1"/>
  <c r="M1317" i="1"/>
  <c r="M1660" i="1"/>
  <c r="M1336" i="1"/>
  <c r="M1060" i="1"/>
  <c r="M1444" i="1"/>
  <c r="M358" i="1"/>
  <c r="M1663" i="1"/>
  <c r="M1495" i="1"/>
  <c r="M1554" i="1"/>
  <c r="M904" i="1"/>
  <c r="M736" i="1"/>
  <c r="M568" i="1"/>
  <c r="M412" i="1"/>
  <c r="M1611" i="1"/>
  <c r="M1455" i="1"/>
  <c r="M1299" i="1"/>
  <c r="M1143" i="1"/>
  <c r="M1706" i="1"/>
  <c r="M1562" i="1"/>
  <c r="M1418" i="1"/>
  <c r="M1274" i="1"/>
  <c r="M1130" i="1"/>
  <c r="M986" i="1"/>
  <c r="M842" i="1"/>
  <c r="M698" i="1"/>
  <c r="M1705" i="1"/>
  <c r="M1561" i="1"/>
  <c r="M1417" i="1"/>
  <c r="M1273" i="1"/>
  <c r="M1129" i="1"/>
  <c r="M985" i="1"/>
  <c r="M841" i="1"/>
  <c r="M1083" i="1"/>
  <c r="M939" i="1"/>
  <c r="M795" i="1"/>
  <c r="M651" i="1"/>
  <c r="M507" i="1"/>
  <c r="M363" i="1"/>
  <c r="M219" i="1"/>
  <c r="M530" i="1"/>
  <c r="M946" i="1"/>
  <c r="M1305" i="1"/>
  <c r="M1636" i="1"/>
  <c r="M1252" i="1"/>
  <c r="M1048" i="1"/>
  <c r="M1300" i="1"/>
  <c r="M610" i="1"/>
  <c r="M1651" i="1"/>
  <c r="M1483" i="1"/>
  <c r="M1542" i="1"/>
  <c r="M892" i="1"/>
  <c r="M712" i="1"/>
  <c r="M556" i="1"/>
  <c r="M400" i="1"/>
  <c r="M1599" i="1"/>
  <c r="M1443" i="1"/>
  <c r="M1287" i="1"/>
  <c r="M1131" i="1"/>
  <c r="M1694" i="1"/>
  <c r="M1550" i="1"/>
  <c r="M1406" i="1"/>
  <c r="M1262" i="1"/>
  <c r="M1118" i="1"/>
  <c r="M974" i="1"/>
  <c r="M830" i="1"/>
  <c r="M686" i="1"/>
  <c r="M1693" i="1"/>
  <c r="M1549" i="1"/>
  <c r="M1405" i="1"/>
  <c r="M1261" i="1"/>
  <c r="M1117" i="1"/>
  <c r="M973" i="1"/>
  <c r="M829" i="1"/>
  <c r="M71" i="1"/>
  <c r="M227" i="1"/>
  <c r="M383" i="1"/>
  <c r="M539" i="1"/>
  <c r="M695" i="1"/>
  <c r="M863" i="1"/>
  <c r="M1019" i="1"/>
  <c r="M1175" i="1"/>
  <c r="M1331" i="1"/>
  <c r="M1487" i="1"/>
  <c r="M156" i="1"/>
  <c r="M312" i="1"/>
  <c r="M468" i="1"/>
  <c r="M624" i="1"/>
  <c r="M780" i="1"/>
  <c r="M936" i="1"/>
  <c r="M1104" i="1"/>
  <c r="M1272" i="1"/>
  <c r="M49" i="1"/>
  <c r="M205" i="1"/>
  <c r="M361" i="1"/>
  <c r="M517" i="1"/>
  <c r="M673" i="1"/>
  <c r="M170" i="1"/>
  <c r="M123" i="1"/>
  <c r="M172" i="1"/>
  <c r="M328" i="1"/>
  <c r="M137" i="1"/>
  <c r="M293" i="1"/>
  <c r="M449" i="1"/>
  <c r="M605" i="1"/>
  <c r="M761" i="1"/>
  <c r="M929" i="1"/>
  <c r="M1109" i="1"/>
  <c r="M1289" i="1"/>
  <c r="M1469" i="1"/>
  <c r="M1673" i="1"/>
  <c r="L197" i="1"/>
  <c r="N197" i="1" s="1"/>
  <c r="M150" i="1"/>
  <c r="M378" i="1"/>
  <c r="M630" i="1"/>
  <c r="M834" i="1"/>
  <c r="M1110" i="1"/>
  <c r="M1374" i="1"/>
  <c r="M67" i="1"/>
  <c r="M355" i="1"/>
  <c r="M619" i="1"/>
  <c r="M883" i="1"/>
  <c r="M1087" i="1"/>
  <c r="M1351" i="1"/>
  <c r="M164" i="1"/>
  <c r="M368" i="1"/>
  <c r="M632" i="1"/>
  <c r="M896" i="1"/>
  <c r="M1160" i="1"/>
  <c r="M1364" i="1"/>
  <c r="M1628" i="1"/>
  <c r="M201" i="1"/>
  <c r="M405" i="1"/>
  <c r="M669" i="1"/>
  <c r="M933" i="1"/>
  <c r="M166" i="1"/>
  <c r="M1511" i="1"/>
  <c r="L71" i="1"/>
  <c r="N71" i="1" s="1"/>
  <c r="M1452" i="1"/>
  <c r="L132" i="1"/>
  <c r="N132" i="1" s="1"/>
  <c r="M422" i="1"/>
  <c r="M399" i="1"/>
  <c r="M831" i="1"/>
  <c r="L467" i="1"/>
  <c r="N467" i="1" s="1"/>
  <c r="L899" i="1"/>
  <c r="L1331" i="1"/>
  <c r="N1331" i="1" s="1"/>
  <c r="L24" i="1"/>
  <c r="N24" i="1" s="1"/>
  <c r="L756" i="1"/>
  <c r="N756" i="1" s="1"/>
  <c r="L1332" i="1"/>
  <c r="N1332" i="1" s="1"/>
  <c r="M1021" i="1"/>
  <c r="M1597" i="1"/>
  <c r="M590" i="1"/>
  <c r="M1178" i="1"/>
  <c r="L195" i="1"/>
  <c r="N195" i="1" s="1"/>
  <c r="L401" i="1"/>
  <c r="N401" i="1" s="1"/>
  <c r="M598" i="1"/>
  <c r="M1240" i="1"/>
  <c r="M1281" i="1"/>
  <c r="L382" i="1"/>
  <c r="N382" i="1" s="1"/>
  <c r="M83" i="1"/>
  <c r="M239" i="1"/>
  <c r="M395" i="1"/>
  <c r="M551" i="1"/>
  <c r="M719" i="1"/>
  <c r="M875" i="1"/>
  <c r="M1031" i="1"/>
  <c r="M1187" i="1"/>
  <c r="M1343" i="1"/>
  <c r="M12" i="1"/>
  <c r="M168" i="1"/>
  <c r="M324" i="1"/>
  <c r="M480" i="1"/>
  <c r="M636" i="1"/>
  <c r="M792" i="1"/>
  <c r="M960" i="1"/>
  <c r="M1116" i="1"/>
  <c r="M1284" i="1"/>
  <c r="M61" i="1"/>
  <c r="M217" i="1"/>
  <c r="M373" i="1"/>
  <c r="M529" i="1"/>
  <c r="M685" i="1"/>
  <c r="M182" i="1"/>
  <c r="M4" i="1"/>
  <c r="M184" i="1"/>
  <c r="M352" i="1"/>
  <c r="M149" i="1"/>
  <c r="M305" i="1"/>
  <c r="M461" i="1"/>
  <c r="M617" i="1"/>
  <c r="M773" i="1"/>
  <c r="M953" i="1"/>
  <c r="M1121" i="1"/>
  <c r="M1301" i="1"/>
  <c r="M1481" i="1"/>
  <c r="L17" i="1"/>
  <c r="N17" i="1" s="1"/>
  <c r="L209" i="1"/>
  <c r="N209" i="1" s="1"/>
  <c r="M198" i="1"/>
  <c r="M390" i="1"/>
  <c r="M642" i="1"/>
  <c r="M846" i="1"/>
  <c r="M1122" i="1"/>
  <c r="M1398" i="1"/>
  <c r="M163" i="1"/>
  <c r="M367" i="1"/>
  <c r="M631" i="1"/>
  <c r="M895" i="1"/>
  <c r="M1099" i="1"/>
  <c r="M1363" i="1"/>
  <c r="M176" i="1"/>
  <c r="M440" i="1"/>
  <c r="M644" i="1"/>
  <c r="M908" i="1"/>
  <c r="M1172" i="1"/>
  <c r="M1376" i="1"/>
  <c r="M1640" i="1"/>
  <c r="M213" i="1"/>
  <c r="M477" i="1"/>
  <c r="M681" i="1"/>
  <c r="M945" i="1"/>
  <c r="M178" i="1"/>
  <c r="M1523" i="1"/>
  <c r="L95" i="1"/>
  <c r="N95" i="1" s="1"/>
  <c r="M1524" i="1"/>
  <c r="L144" i="1"/>
  <c r="N144" i="1" s="1"/>
  <c r="M434" i="1"/>
  <c r="M411" i="1"/>
  <c r="M843" i="1"/>
  <c r="L479" i="1"/>
  <c r="N479" i="1" s="1"/>
  <c r="L911" i="1"/>
  <c r="N911" i="1" s="1"/>
  <c r="L1343" i="1"/>
  <c r="L192" i="1"/>
  <c r="N192" i="1" s="1"/>
  <c r="L768" i="1"/>
  <c r="L1344" i="1"/>
  <c r="N1344" i="1" s="1"/>
  <c r="M1033" i="1"/>
  <c r="M1609" i="1"/>
  <c r="M602" i="1"/>
  <c r="M1250" i="1"/>
  <c r="L363" i="1"/>
  <c r="L581" i="1"/>
  <c r="N581" i="1" s="1"/>
  <c r="L314" i="1"/>
  <c r="N314" i="1" s="1"/>
  <c r="M1588" i="1"/>
  <c r="M922" i="1"/>
  <c r="L1486" i="1"/>
  <c r="M95" i="1"/>
  <c r="M251" i="1"/>
  <c r="M407" i="1"/>
  <c r="M575" i="1"/>
  <c r="M731" i="1"/>
  <c r="M887" i="1"/>
  <c r="M1043" i="1"/>
  <c r="M1199" i="1"/>
  <c r="M1355" i="1"/>
  <c r="M24" i="1"/>
  <c r="M180" i="1"/>
  <c r="M336" i="1"/>
  <c r="M492" i="1"/>
  <c r="M648" i="1"/>
  <c r="M816" i="1"/>
  <c r="M972" i="1"/>
  <c r="M1128" i="1"/>
  <c r="M1296" i="1"/>
  <c r="M73" i="1"/>
  <c r="M229" i="1"/>
  <c r="M385" i="1"/>
  <c r="M541" i="1"/>
  <c r="M14" i="1"/>
  <c r="M194" i="1"/>
  <c r="M16" i="1"/>
  <c r="M208" i="1"/>
  <c r="M364" i="1"/>
  <c r="M161" i="1"/>
  <c r="M317" i="1"/>
  <c r="M473" i="1"/>
  <c r="M629" i="1"/>
  <c r="M785" i="1"/>
  <c r="M965" i="1"/>
  <c r="M1145" i="1"/>
  <c r="M1313" i="1"/>
  <c r="M1493" i="1"/>
  <c r="L29" i="1"/>
  <c r="N29" i="1" s="1"/>
  <c r="L221" i="1"/>
  <c r="N221" i="1" s="1"/>
  <c r="M210" i="1"/>
  <c r="M402" i="1"/>
  <c r="M654" i="1"/>
  <c r="M918" i="1"/>
  <c r="M1134" i="1"/>
  <c r="M1410" i="1"/>
  <c r="M175" i="1"/>
  <c r="M379" i="1"/>
  <c r="M643" i="1"/>
  <c r="M907" i="1"/>
  <c r="M1171" i="1"/>
  <c r="M1375" i="1"/>
  <c r="M188" i="1"/>
  <c r="M452" i="1"/>
  <c r="M656" i="1"/>
  <c r="M920" i="1"/>
  <c r="M1184" i="1"/>
  <c r="M1448" i="1"/>
  <c r="M1652" i="1"/>
  <c r="M225" i="1"/>
  <c r="M489" i="1"/>
  <c r="M693" i="1"/>
  <c r="M957" i="1"/>
  <c r="M190" i="1"/>
  <c r="M1595" i="1"/>
  <c r="L107" i="1"/>
  <c r="N107" i="1" s="1"/>
  <c r="M1536" i="1"/>
  <c r="L180" i="1"/>
  <c r="M506" i="1"/>
  <c r="M483" i="1"/>
  <c r="M915" i="1"/>
  <c r="L551" i="1"/>
  <c r="L983" i="1"/>
  <c r="N983" i="1" s="1"/>
  <c r="L1415" i="1"/>
  <c r="N1415" i="1" s="1"/>
  <c r="L264" i="1"/>
  <c r="N264" i="1" s="1"/>
  <c r="L840" i="1"/>
  <c r="N840" i="1" s="1"/>
  <c r="L1416" i="1"/>
  <c r="N1416" i="1" s="1"/>
  <c r="M1105" i="1"/>
  <c r="M1681" i="1"/>
  <c r="M674" i="1"/>
  <c r="M1322" i="1"/>
  <c r="L519" i="1"/>
  <c r="N519" i="1" s="1"/>
  <c r="M1530" i="1"/>
  <c r="L578" i="1"/>
  <c r="N578" i="1" s="1"/>
  <c r="L532" i="1"/>
  <c r="L721" i="1"/>
  <c r="N721" i="1" s="1"/>
  <c r="L1041" i="1"/>
  <c r="N1041" i="1" s="1"/>
  <c r="N101" i="1" l="1"/>
  <c r="N936" i="1"/>
  <c r="N544" i="1"/>
  <c r="N542" i="1"/>
  <c r="N1337" i="1"/>
  <c r="N849" i="1"/>
  <c r="N1149" i="1"/>
  <c r="N1617" i="1"/>
  <c r="N1485" i="1"/>
  <c r="N1133" i="1"/>
  <c r="N1339" i="1"/>
  <c r="N1610" i="1"/>
  <c r="N583" i="1"/>
  <c r="N1503" i="1"/>
  <c r="N1492" i="1"/>
  <c r="N525" i="1"/>
  <c r="N1313" i="1"/>
  <c r="N949" i="1"/>
  <c r="N354" i="1"/>
  <c r="N806" i="1"/>
  <c r="N1249" i="1"/>
  <c r="N1559" i="1"/>
  <c r="N1310" i="1"/>
  <c r="N623" i="1"/>
  <c r="N611" i="1"/>
  <c r="V32" i="1"/>
  <c r="N468" i="1"/>
  <c r="N342" i="1"/>
  <c r="N174" i="1"/>
  <c r="N398" i="1"/>
  <c r="N753" i="1"/>
  <c r="N327" i="1"/>
  <c r="N149" i="1"/>
  <c r="N1117" i="1"/>
  <c r="N1065" i="1"/>
  <c r="N1425" i="1"/>
  <c r="V31" i="1"/>
  <c r="N1608" i="1"/>
  <c r="N593" i="1"/>
  <c r="N1322" i="1"/>
  <c r="N1015" i="1"/>
  <c r="N1583" i="1"/>
  <c r="N145" i="1"/>
  <c r="N437" i="1"/>
  <c r="N1130" i="1"/>
  <c r="N1386" i="1"/>
  <c r="N1148" i="1"/>
  <c r="N1307" i="1"/>
  <c r="N1452" i="1"/>
  <c r="N867" i="1"/>
  <c r="N631" i="1"/>
  <c r="N736" i="1"/>
  <c r="N1273" i="1"/>
  <c r="N227" i="1"/>
  <c r="N1692" i="1"/>
  <c r="N169" i="1"/>
  <c r="N1347" i="1"/>
  <c r="N686" i="1"/>
  <c r="N1517" i="1"/>
  <c r="N423" i="1"/>
  <c r="N414" i="1"/>
  <c r="N352" i="1"/>
  <c r="N1383" i="1"/>
  <c r="N446" i="1"/>
  <c r="N1121" i="1"/>
  <c r="N1424" i="1"/>
  <c r="N263" i="1"/>
  <c r="N204" i="1"/>
  <c r="N205" i="1"/>
  <c r="N329" i="1"/>
  <c r="N722" i="1"/>
  <c r="T32" i="1"/>
  <c r="N750" i="1"/>
  <c r="N704" i="1"/>
  <c r="N1224" i="1"/>
  <c r="N939" i="1"/>
  <c r="N388" i="1"/>
  <c r="N1477" i="1"/>
  <c r="N84" i="1"/>
  <c r="N372" i="1"/>
  <c r="N533" i="1"/>
  <c r="N1010" i="1"/>
  <c r="N798" i="1"/>
  <c r="N776" i="1"/>
  <c r="N815" i="1"/>
  <c r="N960" i="1"/>
  <c r="N483" i="1"/>
  <c r="N592" i="1"/>
  <c r="N23" i="1"/>
  <c r="N1547" i="1"/>
  <c r="N1287" i="1"/>
  <c r="N1349" i="1"/>
  <c r="N957" i="1"/>
  <c r="N1625" i="1"/>
  <c r="N1243" i="1"/>
  <c r="N1261" i="1"/>
  <c r="N1516" i="1"/>
  <c r="N381" i="1"/>
  <c r="N1269" i="1"/>
  <c r="N1505" i="1"/>
  <c r="N1123" i="1"/>
  <c r="N1141" i="1"/>
  <c r="N442" i="1"/>
  <c r="N1462" i="1"/>
  <c r="N1633" i="1"/>
  <c r="N1097" i="1"/>
  <c r="N1542" i="1"/>
  <c r="N733" i="1"/>
  <c r="N1292" i="1"/>
  <c r="N1436" i="1"/>
  <c r="N1414" i="1"/>
  <c r="N1423" i="1"/>
  <c r="N826" i="1"/>
  <c r="N63" i="1"/>
  <c r="N470" i="1"/>
  <c r="N724" i="1"/>
  <c r="N1421" i="1"/>
  <c r="N1039" i="1"/>
  <c r="N1201" i="1"/>
  <c r="N692" i="1"/>
  <c r="N1258" i="1"/>
  <c r="N1202" i="1"/>
  <c r="N580" i="1"/>
  <c r="N260" i="1"/>
  <c r="T30" i="1"/>
  <c r="N1184" i="1"/>
  <c r="N1567" i="1"/>
  <c r="N1042" i="1"/>
  <c r="N184" i="1"/>
  <c r="N1013" i="1"/>
  <c r="N793" i="1"/>
  <c r="N1592" i="1"/>
  <c r="N1521" i="1"/>
  <c r="N213" i="1"/>
  <c r="N794" i="1"/>
  <c r="N1372" i="1"/>
  <c r="N1601" i="1"/>
  <c r="N1219" i="1"/>
  <c r="N1237" i="1"/>
  <c r="N1618" i="1"/>
  <c r="N249" i="1"/>
  <c r="N297" i="1"/>
  <c r="N31" i="1"/>
  <c r="N1094" i="1"/>
  <c r="N364" i="1"/>
  <c r="N582" i="1"/>
  <c r="N152" i="1"/>
  <c r="N1646" i="1"/>
  <c r="N1016" i="1"/>
  <c r="N34" i="1"/>
  <c r="N1573" i="1"/>
  <c r="N251" i="1"/>
  <c r="T33" i="1"/>
  <c r="N995" i="1"/>
  <c r="N1127" i="1"/>
  <c r="N1427" i="1"/>
  <c r="N987" i="1"/>
  <c r="N831" i="1"/>
  <c r="N641" i="1"/>
  <c r="N1308" i="1"/>
  <c r="N1173" i="1"/>
  <c r="N458" i="1"/>
  <c r="N1365" i="1"/>
  <c r="N1246" i="1"/>
  <c r="N1569" i="1"/>
  <c r="N326" i="1"/>
  <c r="N814" i="1"/>
  <c r="N649" i="1"/>
  <c r="N1399" i="1"/>
  <c r="N532" i="1"/>
  <c r="V30" i="1"/>
  <c r="N225" i="1"/>
  <c r="N1283" i="1"/>
  <c r="N161" i="1"/>
  <c r="N325" i="1"/>
  <c r="N276" i="1"/>
  <c r="N421" i="1"/>
  <c r="N6" i="1"/>
  <c r="N1586" i="1"/>
  <c r="N80" i="1"/>
  <c r="N670" i="1"/>
  <c r="N1644" i="1"/>
  <c r="N605" i="1"/>
  <c r="N1394" i="1"/>
  <c r="N1027" i="1"/>
  <c r="N429" i="1"/>
  <c r="N1451" i="1"/>
  <c r="N1023" i="1"/>
  <c r="N146" i="1"/>
  <c r="N1384" i="1"/>
  <c r="N716" i="1"/>
  <c r="N12" i="1"/>
  <c r="N312" i="1"/>
  <c r="N313" i="1"/>
  <c r="N293" i="1"/>
  <c r="N890" i="1"/>
  <c r="N630" i="1"/>
  <c r="N562" i="1"/>
  <c r="N579" i="1"/>
  <c r="T29" i="1"/>
  <c r="N7" i="1"/>
  <c r="N892" i="1"/>
  <c r="N656" i="1"/>
  <c r="N1461" i="1"/>
  <c r="N317" i="1"/>
  <c r="N710" i="1"/>
  <c r="N1553" i="1"/>
  <c r="N994" i="1"/>
  <c r="N60" i="1"/>
  <c r="N348" i="1"/>
  <c r="N349" i="1"/>
  <c r="N986" i="1"/>
  <c r="N1182" i="1"/>
  <c r="N1341" i="1"/>
  <c r="N1368" i="1"/>
  <c r="N1095" i="1"/>
  <c r="N691" i="1"/>
  <c r="N1024" i="1"/>
  <c r="N1616" i="1"/>
  <c r="N371" i="1"/>
  <c r="N516" i="1"/>
  <c r="N713" i="1"/>
  <c r="N1274" i="1"/>
  <c r="N1630" i="1"/>
  <c r="N959" i="1"/>
  <c r="N1104" i="1"/>
  <c r="N651" i="1"/>
  <c r="N247" i="1"/>
  <c r="N1132" i="1"/>
  <c r="N1045" i="1"/>
  <c r="N1691" i="1"/>
  <c r="N1443" i="1"/>
  <c r="N830" i="1"/>
  <c r="N1626" i="1"/>
  <c r="N1136" i="1"/>
  <c r="N1602" i="1"/>
  <c r="N20" i="1"/>
  <c r="N1417" i="1"/>
  <c r="N1076" i="1"/>
  <c r="N1137" i="1"/>
  <c r="N634" i="1"/>
  <c r="N1649" i="1"/>
  <c r="N1267" i="1"/>
  <c r="N1285" i="1"/>
  <c r="N1600" i="1"/>
  <c r="N561" i="1"/>
  <c r="N1241" i="1"/>
  <c r="N859" i="1"/>
  <c r="N877" i="1"/>
  <c r="N117" i="1"/>
  <c r="N285" i="1"/>
  <c r="N1437" i="1"/>
  <c r="N610" i="1"/>
  <c r="N969" i="1"/>
  <c r="N207" i="1"/>
  <c r="N18" i="1"/>
  <c r="N614" i="1"/>
  <c r="N1012" i="1"/>
  <c r="N1565" i="1"/>
  <c r="N1183" i="1"/>
  <c r="N1345" i="1"/>
  <c r="N283" i="1"/>
  <c r="N1346" i="1"/>
  <c r="N856" i="1"/>
  <c r="N834" i="1"/>
  <c r="N404" i="1"/>
  <c r="N861" i="1"/>
  <c r="N848" i="1"/>
  <c r="N350" i="1"/>
  <c r="N472" i="1"/>
  <c r="N1157" i="1"/>
  <c r="N1662" i="1"/>
  <c r="N937" i="1"/>
  <c r="N970" i="1"/>
  <c r="N1053" i="1"/>
  <c r="N938" i="1"/>
  <c r="N52" i="1"/>
  <c r="N1554" i="1"/>
  <c r="N1363" i="1"/>
  <c r="N1381" i="1"/>
  <c r="N956" i="1"/>
  <c r="N1017" i="1"/>
  <c r="N1113" i="1"/>
  <c r="N175" i="1"/>
  <c r="U34" i="1"/>
  <c r="N1238" i="1"/>
  <c r="N652" i="1"/>
  <c r="N726" i="1"/>
  <c r="N296" i="1"/>
  <c r="N1627" i="1"/>
  <c r="N1688" i="1"/>
  <c r="N1138" i="1"/>
  <c r="N357" i="1"/>
  <c r="N1656" i="1"/>
  <c r="N874" i="1"/>
  <c r="N1074" i="1"/>
  <c r="N439" i="1"/>
  <c r="N267" i="1"/>
  <c r="N1064" i="1"/>
  <c r="N897" i="1"/>
  <c r="N816" i="1"/>
  <c r="N178" i="1"/>
  <c r="N286" i="1"/>
  <c r="N953" i="1"/>
  <c r="N1591" i="1"/>
  <c r="N62" i="1"/>
  <c r="N727" i="1"/>
  <c r="N872" i="1"/>
  <c r="N1343" i="1"/>
  <c r="W30" i="1"/>
  <c r="N488" i="1"/>
  <c r="N851" i="1"/>
  <c r="N624" i="1"/>
  <c r="N51" i="1"/>
  <c r="N186" i="1"/>
  <c r="N256" i="1"/>
  <c r="N1606" i="1"/>
  <c r="N288" i="1"/>
  <c r="N433" i="1"/>
  <c r="N30" i="1"/>
  <c r="N1455" i="1"/>
  <c r="N92" i="1"/>
  <c r="N1378" i="1"/>
  <c r="N1595" i="1"/>
  <c r="N13" i="1"/>
  <c r="N1179" i="1"/>
  <c r="N410" i="1"/>
  <c r="N1061" i="1"/>
  <c r="N1389" i="1"/>
  <c r="N168" i="1"/>
  <c r="N456" i="1"/>
  <c r="N461" i="1"/>
  <c r="N1154" i="1"/>
  <c r="N1062" i="1"/>
  <c r="N735" i="1"/>
  <c r="N187" i="1"/>
  <c r="N1420" i="1"/>
  <c r="N1561" i="1"/>
  <c r="N1645" i="1"/>
  <c r="N485" i="1"/>
  <c r="N974" i="1"/>
  <c r="N237" i="1"/>
  <c r="N347" i="1"/>
  <c r="N492" i="1"/>
  <c r="N74" i="1"/>
  <c r="N677" i="1"/>
  <c r="N1250" i="1"/>
  <c r="N823" i="1"/>
  <c r="N1006" i="1"/>
  <c r="N1512" i="1"/>
  <c r="N1251" i="1"/>
  <c r="N266" i="1"/>
  <c r="N1174" i="1"/>
  <c r="N515" i="1"/>
  <c r="N660" i="1"/>
  <c r="N159" i="1"/>
  <c r="N126" i="1"/>
  <c r="N871" i="1"/>
  <c r="N1497" i="1"/>
  <c r="N1103" i="1"/>
  <c r="N1248" i="1"/>
  <c r="N807" i="1"/>
  <c r="N511" i="1"/>
  <c r="N460" i="1"/>
  <c r="N1549" i="1"/>
  <c r="N389" i="1"/>
  <c r="N1034" i="1"/>
  <c r="N894" i="1"/>
  <c r="N358" i="1"/>
  <c r="N594" i="1"/>
  <c r="N164" i="1"/>
  <c r="N1658" i="1"/>
  <c r="N346" i="1"/>
  <c r="N148" i="1"/>
  <c r="N1650" i="1"/>
  <c r="N44" i="1"/>
  <c r="N1453" i="1"/>
  <c r="N1196" i="1"/>
  <c r="N1293" i="1"/>
  <c r="N1413" i="1"/>
  <c r="N1003" i="1"/>
  <c r="N1021" i="1"/>
  <c r="N1281" i="1"/>
  <c r="N1101" i="1"/>
  <c r="N934" i="1"/>
  <c r="N1330" i="1"/>
  <c r="N754" i="1"/>
  <c r="N351" i="1"/>
  <c r="N162" i="1"/>
  <c r="N758" i="1"/>
  <c r="N1300" i="1"/>
  <c r="N1470" i="1"/>
  <c r="N1327" i="1"/>
  <c r="N1598" i="1"/>
  <c r="N321" i="1"/>
  <c r="N1665" i="1"/>
  <c r="N427" i="1"/>
  <c r="N1490" i="1"/>
  <c r="N1144" i="1"/>
  <c r="N978" i="1"/>
  <c r="N548" i="1"/>
  <c r="N130" i="1"/>
  <c r="N82" i="1"/>
  <c r="N494" i="1"/>
  <c r="N772" i="1"/>
  <c r="N1301" i="1"/>
  <c r="N1081" i="1"/>
  <c r="N1474" i="1"/>
  <c r="N201" i="1"/>
  <c r="N334" i="1"/>
  <c r="N1082" i="1"/>
  <c r="N340" i="1"/>
  <c r="N570" i="1"/>
  <c r="N140" i="1"/>
  <c r="N1634" i="1"/>
  <c r="N1640" i="1"/>
  <c r="N190" i="1"/>
  <c r="N430" i="1"/>
  <c r="N319" i="1"/>
  <c r="N1382" i="1"/>
  <c r="N928" i="1"/>
  <c r="N870" i="1"/>
  <c r="N440" i="1"/>
  <c r="N1376" i="1"/>
  <c r="N693" i="1"/>
  <c r="N309" i="1"/>
  <c r="N1197" i="1"/>
  <c r="N1056" i="1"/>
  <c r="N77" i="1"/>
  <c r="N179" i="1"/>
  <c r="V33" i="1"/>
  <c r="W33" i="1"/>
  <c r="N527" i="1"/>
  <c r="N133" i="1"/>
  <c r="N373" i="1"/>
  <c r="N424" i="1"/>
  <c r="N645" i="1"/>
  <c r="N1597" i="1"/>
  <c r="N1456" i="1"/>
  <c r="N695" i="1"/>
  <c r="N1486" i="1"/>
  <c r="N551" i="1"/>
  <c r="W29" i="1"/>
  <c r="N899" i="1"/>
  <c r="N419" i="1"/>
  <c r="N1703" i="1"/>
  <c r="N35" i="1"/>
  <c r="N219" i="1"/>
  <c r="N366" i="1"/>
  <c r="N664" i="1"/>
  <c r="N745" i="1"/>
  <c r="N1317" i="1"/>
  <c r="N75" i="1"/>
  <c r="N198" i="1"/>
  <c r="N280" i="1"/>
  <c r="N524" i="1"/>
  <c r="N490" i="1"/>
  <c r="N157" i="1"/>
  <c r="N1335" i="1"/>
  <c r="N674" i="1"/>
  <c r="N1493" i="1"/>
  <c r="N1112" i="1"/>
  <c r="N600" i="1"/>
  <c r="U29" i="1"/>
  <c r="N26" i="1"/>
  <c r="N629" i="1"/>
  <c r="N1418" i="1"/>
  <c r="N1518" i="1"/>
  <c r="N1507" i="1"/>
  <c r="N891" i="1"/>
  <c r="N391" i="1"/>
  <c r="N172" i="1"/>
  <c r="N889" i="1"/>
  <c r="N1178" i="1"/>
  <c r="N1098" i="1"/>
  <c r="N1543" i="1"/>
  <c r="N491" i="1"/>
  <c r="N636" i="1"/>
  <c r="N135" i="1"/>
  <c r="N102" i="1"/>
  <c r="N1454" i="1"/>
  <c r="N1255" i="1"/>
  <c r="N633" i="1"/>
  <c r="N1511" i="1"/>
  <c r="N73" i="1"/>
  <c r="N1407" i="1"/>
  <c r="N530" i="1"/>
  <c r="N1229" i="1"/>
  <c r="N33" i="1"/>
  <c r="N659" i="1"/>
  <c r="N804" i="1"/>
  <c r="N315" i="1"/>
  <c r="N294" i="1"/>
  <c r="N1599" i="1"/>
  <c r="N1303" i="1"/>
  <c r="N137" i="1"/>
  <c r="N1392" i="1"/>
  <c r="N963" i="1"/>
  <c r="N775" i="1"/>
  <c r="N1096" i="1"/>
  <c r="N1582" i="1"/>
  <c r="N108" i="1"/>
  <c r="N396" i="1"/>
  <c r="N122" i="1"/>
  <c r="N569" i="1"/>
  <c r="N1298" i="1"/>
  <c r="N1326" i="1"/>
  <c r="N992" i="1"/>
  <c r="N738" i="1"/>
  <c r="N1687" i="1"/>
  <c r="N202" i="1"/>
  <c r="N1366" i="1"/>
  <c r="N436" i="1"/>
  <c r="N618" i="1"/>
  <c r="N188" i="1"/>
  <c r="N1005" i="1"/>
  <c r="N514" i="1"/>
  <c r="N802" i="1"/>
  <c r="N1147" i="1"/>
  <c r="N1165" i="1"/>
  <c r="N718" i="1"/>
  <c r="N478" i="1"/>
  <c r="N1657" i="1"/>
  <c r="N1594" i="1"/>
  <c r="N1498" i="1"/>
  <c r="N306" i="1"/>
  <c r="N902" i="1"/>
  <c r="N534" i="1"/>
  <c r="N104" i="1"/>
  <c r="N1612" i="1"/>
  <c r="N1605" i="1"/>
  <c r="N922" i="1"/>
  <c r="N571" i="1"/>
  <c r="N1491" i="1"/>
  <c r="N1432" i="1"/>
  <c r="N1122" i="1"/>
  <c r="N493" i="1"/>
  <c r="N1480" i="1"/>
  <c r="N1556" i="1"/>
  <c r="N1546" i="1"/>
  <c r="N638" i="1"/>
  <c r="N1060" i="1"/>
  <c r="N1445" i="1"/>
  <c r="N1063" i="1"/>
  <c r="N1225" i="1"/>
  <c r="N896" i="1"/>
  <c r="N933" i="1"/>
  <c r="N1426" i="1"/>
  <c r="N1226" i="1"/>
  <c r="N628" i="1"/>
  <c r="N714" i="1"/>
  <c r="N284" i="1"/>
  <c r="N1696" i="1"/>
  <c r="N597" i="1"/>
  <c r="N1210" i="1"/>
  <c r="N1522" i="1"/>
  <c r="N463" i="1"/>
  <c r="N1526" i="1"/>
  <c r="N1216" i="1"/>
  <c r="N1014" i="1"/>
  <c r="N584" i="1"/>
  <c r="N129" i="1"/>
  <c r="N58" i="1"/>
  <c r="N1089" i="1"/>
  <c r="N526" i="1"/>
  <c r="N480" i="1"/>
  <c r="N239" i="1"/>
  <c r="N49" i="1"/>
  <c r="N1499" i="1"/>
  <c r="N125" i="1"/>
  <c r="N860" i="1"/>
  <c r="N768" i="1"/>
  <c r="N378" i="1"/>
  <c r="N215" i="1"/>
  <c r="N90" i="1"/>
  <c r="N291" i="1"/>
  <c r="N131" i="1"/>
  <c r="N882" i="1"/>
  <c r="N717" i="1"/>
  <c r="N1585" i="1"/>
  <c r="N556" i="1"/>
  <c r="N1635" i="1"/>
  <c r="N9" i="1"/>
  <c r="N1447" i="1"/>
  <c r="N269" i="1"/>
  <c r="U30" i="1"/>
  <c r="N262" i="1"/>
  <c r="N363" i="1"/>
  <c r="W32" i="1"/>
  <c r="N1180" i="1"/>
  <c r="N839" i="1"/>
  <c r="N675" i="1"/>
  <c r="N612" i="1"/>
  <c r="N552" i="1"/>
  <c r="N1264" i="1"/>
  <c r="N531" i="1"/>
  <c r="N343" i="1"/>
  <c r="N676" i="1"/>
  <c r="N1528" i="1"/>
  <c r="N575" i="1"/>
  <c r="N387" i="1"/>
  <c r="N139" i="1"/>
  <c r="N1228" i="1"/>
  <c r="N1189" i="1"/>
  <c r="N156" i="1"/>
  <c r="N444" i="1"/>
  <c r="N445" i="1"/>
  <c r="N449" i="1"/>
  <c r="N1142" i="1"/>
  <c r="N1038" i="1"/>
  <c r="N1483" i="1"/>
  <c r="N888" i="1"/>
  <c r="N255" i="1"/>
  <c r="N328" i="1"/>
  <c r="N1029" i="1"/>
  <c r="N1203" i="1"/>
  <c r="N170" i="1"/>
  <c r="N773" i="1"/>
  <c r="N1004" i="1"/>
  <c r="N279" i="1"/>
  <c r="N1563" i="1"/>
  <c r="N1171" i="1"/>
  <c r="N1257" i="1"/>
  <c r="N779" i="1"/>
  <c r="N924" i="1"/>
  <c r="N447" i="1"/>
  <c r="N438" i="1"/>
  <c r="N400" i="1"/>
  <c r="N553" i="1"/>
  <c r="N275" i="1"/>
  <c r="N216" i="1"/>
  <c r="N361" i="1"/>
  <c r="N521" i="1"/>
  <c r="U33" i="1"/>
  <c r="N998" i="1"/>
  <c r="N774" i="1"/>
  <c r="N1125" i="1"/>
  <c r="N947" i="1"/>
  <c r="N1092" i="1"/>
  <c r="N67" i="1"/>
  <c r="N568" i="1"/>
  <c r="N11" i="1"/>
  <c r="N1535" i="1"/>
  <c r="N1275" i="1"/>
  <c r="N554" i="1"/>
  <c r="N1265" i="1"/>
  <c r="N1663" i="1"/>
  <c r="N539" i="1"/>
  <c r="N183" i="1"/>
  <c r="N330" i="1"/>
  <c r="N1683" i="1"/>
  <c r="N1026" i="1"/>
  <c r="N596" i="1"/>
  <c r="N189" i="1"/>
  <c r="N1675" i="1"/>
  <c r="N538" i="1"/>
  <c r="N1000" i="1"/>
  <c r="N906" i="1"/>
  <c r="N476" i="1"/>
  <c r="N1568" i="1"/>
  <c r="N1495" i="1"/>
  <c r="N142" i="1"/>
  <c r="N196" i="1"/>
  <c r="N1698" i="1"/>
  <c r="N68" i="1"/>
  <c r="N1501" i="1"/>
  <c r="N1304" i="1"/>
  <c r="N609" i="1"/>
  <c r="N1593" i="1"/>
  <c r="N1102" i="1"/>
  <c r="N1689" i="1"/>
  <c r="N783" i="1"/>
  <c r="N127" i="1"/>
  <c r="N1190" i="1"/>
  <c r="N832" i="1"/>
  <c r="N822" i="1"/>
  <c r="N392" i="1"/>
  <c r="N1555" i="1"/>
  <c r="N910" i="1"/>
  <c r="N194" i="1"/>
  <c r="N160" i="1"/>
  <c r="N1001" i="1"/>
  <c r="N1410" i="1"/>
  <c r="N781" i="1"/>
  <c r="N1532" i="1"/>
  <c r="N1449" i="1"/>
  <c r="N993" i="1"/>
  <c r="N926" i="1"/>
  <c r="N1530" i="1"/>
  <c r="N1351" i="1"/>
  <c r="N1622" i="1"/>
  <c r="N513" i="1"/>
  <c r="N1126" i="1"/>
  <c r="N1514" i="1"/>
  <c r="N1192" i="1"/>
  <c r="N1002" i="1"/>
  <c r="N572" i="1"/>
  <c r="N1615" i="1"/>
  <c r="N1342" i="1"/>
  <c r="N413" i="1"/>
  <c r="U32" i="1"/>
  <c r="N751" i="1"/>
  <c r="N1671" i="1"/>
  <c r="N893" i="1"/>
  <c r="N1302" i="1"/>
  <c r="N529" i="1"/>
  <c r="N598" i="1"/>
  <c r="N1294" i="1"/>
  <c r="N918" i="1"/>
  <c r="N1139" i="1"/>
  <c r="N1672" i="1"/>
  <c r="N1674" i="1"/>
  <c r="N1560" i="1"/>
  <c r="N1488" i="1"/>
  <c r="N138" i="1"/>
  <c r="N1115" i="1"/>
  <c r="N705" i="1"/>
  <c r="N1539" i="1"/>
  <c r="N780" i="1"/>
  <c r="N474" i="1"/>
  <c r="N150" i="1"/>
  <c r="N105" i="1"/>
  <c r="N1448" i="1"/>
  <c r="N1654" i="1"/>
  <c r="N1124" i="1"/>
  <c r="N782" i="1"/>
  <c r="N203" i="1"/>
  <c r="N191" i="1"/>
  <c r="V34" i="1"/>
  <c r="N535" i="1"/>
  <c r="N407" i="1"/>
  <c r="N646" i="1"/>
  <c r="N1256" i="1"/>
  <c r="N996" i="1"/>
  <c r="N687" i="1"/>
  <c r="N547" i="1"/>
  <c r="N1312" i="1"/>
  <c r="N585" i="1"/>
  <c r="N719" i="1"/>
  <c r="N355" i="1"/>
  <c r="N688" i="1"/>
  <c r="N1576" i="1"/>
  <c r="N588" i="1"/>
  <c r="N14" i="1"/>
  <c r="N617" i="1"/>
  <c r="N1406" i="1"/>
  <c r="N1482" i="1"/>
  <c r="N1340" i="1"/>
  <c r="N887" i="1"/>
  <c r="N411" i="1"/>
  <c r="N402" i="1"/>
  <c r="N868" i="1"/>
  <c r="N632" i="1"/>
  <c r="N441" i="1"/>
  <c r="N1371" i="1"/>
  <c r="N434" i="1"/>
  <c r="N1109" i="1"/>
  <c r="N1364" i="1"/>
  <c r="N435" i="1"/>
  <c r="N426" i="1"/>
  <c r="N376" i="1"/>
  <c r="N236" i="1"/>
  <c r="N1209" i="1"/>
  <c r="N1068" i="1"/>
  <c r="N603" i="1"/>
  <c r="N43" i="1"/>
  <c r="N940" i="1"/>
  <c r="N985" i="1"/>
  <c r="N72" i="1"/>
  <c r="N86" i="1"/>
  <c r="N689" i="1"/>
  <c r="N1262" i="1"/>
  <c r="N1206" i="1"/>
  <c r="N1091" i="1"/>
  <c r="N1236" i="1"/>
  <c r="N795" i="1"/>
  <c r="N988" i="1"/>
  <c r="N1033" i="1"/>
  <c r="N155" i="1"/>
  <c r="N1679" i="1"/>
  <c r="N1431" i="1"/>
  <c r="N1697" i="1"/>
  <c r="N1473" i="1"/>
  <c r="N683" i="1"/>
  <c r="N828" i="1"/>
  <c r="N339" i="1"/>
  <c r="N88" i="1"/>
  <c r="N464" i="1"/>
  <c r="N622" i="1"/>
  <c r="N1170" i="1"/>
  <c r="N1441" i="1"/>
  <c r="N1305" i="1"/>
  <c r="N968" i="1"/>
  <c r="N1090" i="1"/>
  <c r="N1288" i="1"/>
  <c r="N1050" i="1"/>
  <c r="N620" i="1"/>
  <c r="N1221" i="1"/>
  <c r="N484" i="1"/>
  <c r="N642" i="1"/>
  <c r="N1706" i="1"/>
  <c r="N93" i="1"/>
  <c r="N1401" i="1"/>
  <c r="N982" i="1"/>
  <c r="N1669" i="1"/>
  <c r="N1234" i="1"/>
  <c r="T34" i="1"/>
  <c r="N927" i="1"/>
  <c r="N271" i="1"/>
  <c r="N1334" i="1"/>
  <c r="N1120" i="1"/>
  <c r="N966" i="1"/>
  <c r="N536" i="1"/>
  <c r="N1468" i="1"/>
  <c r="N836" i="1"/>
  <c r="N1642" i="1"/>
  <c r="N338" i="1"/>
  <c r="N448" i="1"/>
  <c r="N1145" i="1"/>
  <c r="N1638" i="1"/>
  <c r="N925" i="1"/>
  <c r="N453" i="1"/>
  <c r="N886" i="1"/>
  <c r="N238" i="1"/>
  <c r="N1070" i="1"/>
  <c r="N316" i="1"/>
  <c r="N558" i="1"/>
  <c r="N128" i="1"/>
  <c r="N1660" i="1"/>
  <c r="N1570" i="1"/>
  <c r="N1557" i="1"/>
  <c r="N595" i="1"/>
  <c r="N1515" i="1"/>
  <c r="N737" i="1"/>
  <c r="N1146" i="1"/>
  <c r="N1704" i="1"/>
  <c r="N1077" i="1"/>
  <c r="N908" i="1"/>
  <c r="N274" i="1"/>
  <c r="N557" i="1"/>
  <c r="N673" i="1"/>
  <c r="N1540" i="1"/>
  <c r="N1510" i="1"/>
  <c r="N1695" i="1"/>
  <c r="N707" i="1"/>
  <c r="N1143" i="1"/>
  <c r="N1574" i="1"/>
  <c r="N912" i="1"/>
  <c r="N257" i="1"/>
  <c r="W31" i="1"/>
  <c r="N210" i="1"/>
  <c r="N667" i="1"/>
  <c r="N231" i="1"/>
  <c r="N606" i="1"/>
  <c r="N99" i="1"/>
  <c r="N1442" i="1"/>
  <c r="N368" i="1"/>
  <c r="N1119" i="1"/>
  <c r="N395" i="1"/>
  <c r="N1471" i="1"/>
  <c r="T35" i="1"/>
  <c r="N1266" i="1"/>
  <c r="N573" i="1"/>
  <c r="N180" i="1"/>
  <c r="N409" i="1"/>
  <c r="N991" i="1"/>
  <c r="N1199" i="1"/>
  <c r="N1350" i="1"/>
  <c r="N1187" i="1"/>
  <c r="N843" i="1"/>
  <c r="N811" i="1"/>
  <c r="N977" i="1"/>
  <c r="N1651" i="1"/>
  <c r="N863" i="1"/>
  <c r="N1008" i="1"/>
  <c r="N699" i="1"/>
  <c r="N619" i="1"/>
  <c r="N1360" i="1"/>
  <c r="N657" i="1"/>
  <c r="N587" i="1"/>
  <c r="N732" i="1"/>
  <c r="N87" i="1"/>
  <c r="N1467" i="1"/>
  <c r="N1111" i="1"/>
  <c r="N873" i="1"/>
  <c r="N1031" i="1"/>
  <c r="N1176" i="1"/>
  <c r="N567" i="1"/>
  <c r="N163" i="1"/>
  <c r="N1276" i="1"/>
  <c r="N1513" i="1"/>
  <c r="N680" i="1"/>
  <c r="N305" i="1"/>
  <c r="N698" i="1"/>
  <c r="N1541" i="1"/>
  <c r="N850" i="1"/>
  <c r="N591" i="1"/>
  <c r="N19" i="1"/>
  <c r="N916" i="1"/>
  <c r="N668" i="1"/>
  <c r="N694" i="1"/>
  <c r="N1212" i="1"/>
  <c r="N759" i="1"/>
  <c r="N211" i="1"/>
  <c r="N1429" i="1"/>
  <c r="N359" i="1"/>
  <c r="N504" i="1"/>
  <c r="N147" i="1"/>
  <c r="N847" i="1"/>
  <c r="N1282" i="1"/>
  <c r="N1380" i="1"/>
  <c r="N951" i="1"/>
  <c r="N412" i="1"/>
  <c r="N1525" i="1"/>
  <c r="N240" i="1"/>
  <c r="N385" i="1"/>
  <c r="N377" i="1"/>
  <c r="N1022" i="1"/>
  <c r="N810" i="1"/>
  <c r="N788" i="1"/>
  <c r="N827" i="1"/>
  <c r="N972" i="1"/>
  <c r="N507" i="1"/>
  <c r="N91" i="1"/>
  <c r="N616" i="1"/>
  <c r="N697" i="1"/>
  <c r="N1270" i="1"/>
  <c r="N1314" i="1"/>
  <c r="N541" i="1"/>
  <c r="N730" i="1"/>
  <c r="N1328" i="1"/>
  <c r="N742" i="1"/>
  <c r="N785" i="1"/>
  <c r="N1194" i="1"/>
  <c r="N1489" i="1"/>
  <c r="N1533" i="1"/>
  <c r="N838" i="1"/>
  <c r="N760" i="1"/>
  <c r="N786" i="1"/>
  <c r="N356" i="1"/>
  <c r="N932" i="1"/>
  <c r="N1233" i="1"/>
  <c r="N682" i="1"/>
  <c r="N574" i="1"/>
  <c r="N1693" i="1"/>
  <c r="N415" i="1"/>
  <c r="U35" i="1"/>
  <c r="N1478" i="1"/>
  <c r="N1408" i="1"/>
  <c r="N1110" i="1"/>
  <c r="N481" i="1"/>
  <c r="N1160" i="1"/>
  <c r="N1681" i="1"/>
  <c r="N482" i="1"/>
  <c r="N748" i="1"/>
  <c r="N1289" i="1"/>
  <c r="N907" i="1"/>
  <c r="N1069" i="1"/>
  <c r="N1306" i="1"/>
  <c r="N141" i="1"/>
  <c r="N1354" i="1"/>
  <c r="N1214" i="1"/>
  <c r="N604" i="1"/>
  <c r="N272" i="1"/>
  <c r="N1244" i="1"/>
  <c r="N1579" i="1"/>
  <c r="N1198" i="1"/>
  <c r="N739" i="1"/>
  <c r="N1659" i="1"/>
  <c r="N881" i="1"/>
  <c r="N1290" i="1"/>
  <c r="N517" i="1"/>
  <c r="N466" i="1"/>
  <c r="N1268" i="1"/>
  <c r="N586" i="1"/>
  <c r="N701" i="1"/>
  <c r="N374" i="1"/>
  <c r="N520" i="1"/>
  <c r="N1181" i="1"/>
  <c r="N1375" i="1"/>
  <c r="N817" i="1"/>
  <c r="N980" i="1"/>
  <c r="N1280" i="1"/>
  <c r="N418" i="1"/>
  <c r="W35" i="1"/>
  <c r="V35" i="1"/>
  <c r="N408" i="1"/>
  <c r="N65" i="1"/>
  <c r="N336" i="1"/>
  <c r="N53" i="1"/>
  <c r="N390" i="1"/>
  <c r="N1623" i="1"/>
  <c r="N946" i="1"/>
  <c r="V29" i="1"/>
  <c r="N744" i="1"/>
  <c r="N1135" i="1"/>
  <c r="N471" i="1"/>
  <c r="N917" i="1"/>
  <c r="N712" i="1"/>
  <c r="T31" i="1"/>
  <c r="N502" i="1"/>
  <c r="N1245" i="1"/>
  <c r="N857" i="1"/>
  <c r="N812" i="1"/>
  <c r="N1369" i="1"/>
  <c r="N307" i="1"/>
  <c r="N1316" i="1"/>
  <c r="N1158" i="1"/>
  <c r="N1666" i="1"/>
  <c r="N640" i="1"/>
  <c r="N563" i="1"/>
  <c r="N1284" i="1"/>
  <c r="N999" i="1"/>
  <c r="N386" i="1"/>
  <c r="N1397" i="1"/>
  <c r="N1377" i="1"/>
  <c r="N1007" i="1"/>
  <c r="N855" i="1"/>
  <c r="N134" i="1"/>
  <c r="N1049" i="1"/>
  <c r="N1699" i="1"/>
  <c r="N731" i="1"/>
  <c r="N243" i="1"/>
  <c r="N222" i="1"/>
  <c r="N304" i="1"/>
  <c r="N176" i="1"/>
  <c r="N1558" i="1"/>
  <c r="N1175" i="1"/>
  <c r="N723" i="1"/>
  <c r="N379" i="1"/>
  <c r="N124" i="1"/>
  <c r="N865" i="1"/>
  <c r="N1621" i="1"/>
  <c r="N473" i="1"/>
  <c r="N962" i="1"/>
  <c r="N654" i="1"/>
  <c r="N153" i="1"/>
  <c r="N747" i="1"/>
  <c r="N199" i="1"/>
  <c r="N1444" i="1"/>
  <c r="N469" i="1"/>
  <c r="N465" i="1"/>
  <c r="N1211" i="1"/>
  <c r="N1356" i="1"/>
  <c r="N915" i="1"/>
  <c r="N475" i="1"/>
  <c r="N976" i="1"/>
  <c r="U31" i="1"/>
  <c r="N503" i="1"/>
  <c r="N648" i="1"/>
  <c r="N303" i="1"/>
  <c r="N282" i="1"/>
  <c r="N1587" i="1"/>
  <c r="N1279" i="1"/>
  <c r="N1329" i="1"/>
  <c r="N1379" i="1"/>
  <c r="N1524" i="1"/>
  <c r="N1107" i="1"/>
  <c r="N1072" i="1"/>
  <c r="N1438" i="1"/>
  <c r="N545" i="1"/>
  <c r="N1286" i="1"/>
  <c r="N1242" i="1"/>
  <c r="N406" i="1"/>
  <c r="N971" i="1"/>
  <c r="N1116" i="1"/>
  <c r="N663" i="1"/>
  <c r="N259" i="1"/>
  <c r="N1156" i="1"/>
  <c r="N1129" i="1"/>
  <c r="N706" i="1"/>
  <c r="N1458" i="1"/>
  <c r="N685" i="1"/>
  <c r="N1564" i="1"/>
  <c r="N921" i="1"/>
  <c r="N929" i="1"/>
  <c r="N1338" i="1"/>
  <c r="N565" i="1"/>
  <c r="N1018" i="1"/>
  <c r="N1388" i="1"/>
  <c r="N1450" i="1"/>
  <c r="N1048" i="1"/>
  <c r="N930" i="1"/>
  <c r="N500" i="1"/>
  <c r="N1676" i="1"/>
  <c r="N778" i="1"/>
  <c r="N1702" i="1"/>
  <c r="N1435" i="1"/>
  <c r="N1677" i="1"/>
  <c r="N837" i="1"/>
  <c r="N1215" i="1"/>
  <c r="N559" i="1"/>
  <c r="N1479" i="1"/>
  <c r="N845" i="1"/>
  <c r="N1254" i="1"/>
  <c r="N625" i="1"/>
  <c r="N1520" i="1"/>
  <c r="N1402" i="1"/>
  <c r="N626" i="1"/>
  <c r="N1433" i="1"/>
  <c r="N1051" i="1"/>
  <c r="N1213" i="1"/>
  <c r="N824" i="1"/>
  <c r="N885" i="1"/>
  <c r="N295" i="1"/>
  <c r="N1358" i="1"/>
  <c r="N880" i="1"/>
  <c r="N846" i="1"/>
  <c r="N416" i="1"/>
  <c r="N884" i="1"/>
  <c r="N154" i="1"/>
  <c r="N218" i="1"/>
  <c r="N208" i="1"/>
  <c r="N1025" i="1"/>
  <c r="N661" i="1"/>
  <c r="N1504" i="1"/>
  <c r="N1628" i="1"/>
  <c r="N394" i="1"/>
  <c r="N66" i="1"/>
  <c r="N820" i="1"/>
  <c r="N1325" i="1"/>
  <c r="N961" i="1"/>
  <c r="N1700" i="1"/>
  <c r="N1664" i="1"/>
  <c r="N862" i="1"/>
  <c r="N1299" i="1"/>
  <c r="N41" i="1"/>
  <c r="N393" i="1"/>
  <c r="N1487" i="1"/>
  <c r="N1694" i="1"/>
  <c r="N1475" i="1"/>
  <c r="X35" i="1" l="1"/>
  <c r="X33" i="1"/>
  <c r="X30" i="1"/>
  <c r="X29" i="1"/>
  <c r="X31" i="1"/>
  <c r="X32" i="1"/>
  <c r="X3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<sst xmlns="http://schemas.openxmlformats.org/spreadsheetml/2006/main" count="70" uniqueCount="35">
  <si>
    <t>Date</t>
  </si>
  <si>
    <t>Year</t>
  </si>
  <si>
    <t>Open</t>
  </si>
  <si>
    <t>High</t>
  </si>
  <si>
    <t>Low</t>
  </si>
  <si>
    <t>Close</t>
  </si>
  <si>
    <t>Adj Close</t>
  </si>
  <si>
    <t>Volume</t>
  </si>
  <si>
    <t>Daily Stock Return (%)</t>
  </si>
  <si>
    <t>Daily Trading Volume Change (%)</t>
  </si>
  <si>
    <t>Price Anomaly Category</t>
  </si>
  <si>
    <t>Volume Anomaly Category</t>
  </si>
  <si>
    <t>Strong Anomaly</t>
  </si>
  <si>
    <t>Variable</t>
  </si>
  <si>
    <t>Percentile</t>
  </si>
  <si>
    <t>Value</t>
  </si>
  <si>
    <t>P5</t>
  </si>
  <si>
    <t>P95</t>
  </si>
  <si>
    <t>Hitungan Python</t>
  </si>
  <si>
    <t>Hitungan Manual Pakai Fungsi Excel</t>
  </si>
  <si>
    <t>Total_Trading_Days</t>
  </si>
  <si>
    <t>Sharp_Price_Increase</t>
  </si>
  <si>
    <t>Sharp_Price_Decrease</t>
  </si>
  <si>
    <t>Sharp_Volume_Increase</t>
  </si>
  <si>
    <t>Sharp_Volume_Decrease</t>
  </si>
  <si>
    <t>Strong_Anomaly</t>
  </si>
  <si>
    <t>Sharp Price Increase</t>
  </si>
  <si>
    <t>Sharp Price Decrease</t>
  </si>
  <si>
    <t>Sharp Volume Increase</t>
  </si>
  <si>
    <t>Sharp Volume Decrease</t>
  </si>
  <si>
    <t>Daily Stock Return Direction</t>
  </si>
  <si>
    <t>+</t>
  </si>
  <si>
    <t>-</t>
  </si>
  <si>
    <t>0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</si>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</sst>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2" xfId="0" applyNumberForma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4" fontId="0" fillId="0" borderId="2" xfId="0" applyNumberFormat="1" applyBorder="1" applyAlignment="1">
      <alignment horizontal="center" vertical="top"/>
    </xf>
    <xf numFmtId="3" fontId="0" fillId="0" borderId="2" xfId="0" applyNumberForma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top"/>
    </xf>
    <xf numFmtId="164" fontId="0" fillId="3" borderId="2" xfId="0" applyNumberFormat="1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4" fontId="0" fillId="3" borderId="2" xfId="0" applyNumberFormat="1" applyFill="1" applyBorder="1" applyAlignment="1">
      <alignment horizontal="center" vertical="top"/>
    </xf>
    <xf numFmtId="3" fontId="0" fillId="3" borderId="2" xfId="0" applyNumberFormat="1" applyFill="1" applyBorder="1" applyAlignment="1">
      <alignment horizontal="center" vertical="top"/>
    </xf>
    <xf numFmtId="165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4" fontId="0" fillId="4" borderId="2" xfId="0" applyNumberFormat="1" applyFill="1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4" fontId="0" fillId="4" borderId="2" xfId="0" applyNumberFormat="1" applyFill="1" applyBorder="1" applyAlignment="1">
      <alignment horizontal="center" vertical="top"/>
    </xf>
    <xf numFmtId="3" fontId="0" fillId="4" borderId="2" xfId="0" applyNumberFormat="1" applyFill="1" applyBorder="1" applyAlignment="1">
      <alignment horizontal="center" vertical="top"/>
    </xf>
    <xf numFmtId="165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3" fontId="0" fillId="3" borderId="0" xfId="0" applyNumberFormat="1" applyFill="1" applyBorder="1" applyAlignment="1">
      <alignment horizontal="center" vertical="top"/>
    </xf>
    <xf numFmtId="0" fontId="2" fillId="2" borderId="0" xfId="0" applyFont="1" applyFill="1" applyBorder="1" applyAlignment="1">
      <alignment horizontal="center" vertic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06"/>
  <sheetViews>
    <sheetView tabSelected="1" workbookViewId="0">
      <pane ySplit="1" topLeftCell="A2" activePane="bottomLeft" state="frozen"/>
      <selection pane="bottomLeft" activeCell="E13" sqref="E13"/>
    </sheetView>
  </sheetViews>
  <sheetFormatPr defaultRowHeight="15" x14ac:dyDescent="0.25"/>
  <cols>
    <col min="1" max="1" width="15" style="2" customWidth="1"/>
    <col min="2" max="2" width="10" style="2" customWidth="1"/>
    <col min="3" max="7" width="15" style="2" customWidth="1"/>
    <col min="8" max="8" width="18" style="2" customWidth="1"/>
    <col min="9" max="9" width="57.140625" style="2" customWidth="1"/>
    <col min="10" max="10" width="28.5703125" style="7" customWidth="1"/>
    <col min="11" max="11" width="38.140625" style="7" customWidth="1"/>
    <col min="12" max="12" width="46" style="2" customWidth="1"/>
    <col min="13" max="13" width="54.85546875" style="2" customWidth="1"/>
    <col min="14" max="14" width="50" style="2" customWidth="1"/>
    <col min="15" max="17" width="9.140625" style="2"/>
    <col min="18" max="18" width="37" style="2" customWidth="1"/>
    <col min="19" max="19" width="29.85546875" style="2" customWidth="1"/>
    <col min="20" max="20" width="29.42578125" style="2" customWidth="1"/>
    <col min="21" max="21" width="60.140625" style="2" customWidth="1"/>
    <col min="22" max="22" width="41.85546875" style="2" customWidth="1"/>
    <col min="23" max="23" width="32.28515625" style="2" customWidth="1"/>
    <col min="24" max="24" width="52.28515625" style="2" customWidth="1"/>
    <col min="25" max="16384" width="9.140625" style="2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3" t="s">
        <v>30</v>
      </c>
      <c r="J1" s="7" t="s">
        <v>8</v>
      </c>
      <c r="K1" s="7" t="s">
        <v>9</v>
      </c>
      <c r="L1" s="2" t="s">
        <v>10</v>
      </c>
      <c r="M1" s="2" t="s">
        <v>11</v>
      </c>
      <c r="N1" s="2" t="s">
        <v>12</v>
      </c>
    </row>
    <row r="2" spans="1:21" x14ac:dyDescent="0.25">
      <c r="A2" s="9">
        <v>43466</v>
      </c>
      <c r="B2" s="10">
        <v>2019</v>
      </c>
      <c r="C2" s="11">
        <v>765</v>
      </c>
      <c r="D2" s="11">
        <v>765</v>
      </c>
      <c r="E2" s="11">
        <v>765</v>
      </c>
      <c r="F2" s="11">
        <v>765</v>
      </c>
      <c r="G2" s="11">
        <v>618.09</v>
      </c>
      <c r="H2" s="12"/>
      <c r="I2" s="22"/>
      <c r="J2" s="13"/>
      <c r="K2" s="13"/>
      <c r="L2" s="14" t="str">
        <f>IFERROR(IF(OR(J2="",ISBLANK(J2)),"Normal",IF(J2&lt;=$U$6,"Sharp Price Decrease",IF(J2&gt;=$U$7,"Sharp Price Increase","Normal"))),"Normal")</f>
        <v>Normal</v>
      </c>
      <c r="M2" s="14" t="str">
        <f>IFERROR(IF(OR(K2="",ISBLANK(K2)),"Normal",IF(K2&lt;=$U$8,"Sharp Volume Decrease",IF(K2&gt;=$U$9,"Sharp Volume Increase","Normal"))),"Normal")</f>
        <v>Normal</v>
      </c>
      <c r="N2" s="14" t="str">
        <f>IFERROR(IF(AND(OR(L2="Sharp Price Increase",L2="Sharp Price Decrease"),OR(M2="Sharp Volume Increase",M2="Sharp Volume Decrease")),"Yes","No"),"No")</f>
        <v>No</v>
      </c>
    </row>
    <row r="3" spans="1:21" x14ac:dyDescent="0.25">
      <c r="A3" s="9">
        <v>43467</v>
      </c>
      <c r="B3" s="10">
        <v>2019</v>
      </c>
      <c r="C3" s="11">
        <v>770</v>
      </c>
      <c r="D3" s="11">
        <v>775</v>
      </c>
      <c r="E3" s="11">
        <v>735</v>
      </c>
      <c r="F3" s="11">
        <v>740</v>
      </c>
      <c r="G3" s="11">
        <v>597.89</v>
      </c>
      <c r="H3" s="12">
        <v>53128900</v>
      </c>
      <c r="I3" s="22" t="str">
        <f>IFERROR(IF(OR(F2="",F3=""),"",IF(F3-F2&lt;0,"-",IF(F3-F2&gt;0,"+","0"))),"")</f>
        <v>-</v>
      </c>
      <c r="J3" s="13">
        <f>(F3-F2)/F2*100</f>
        <v>-3.2679738562091507</v>
      </c>
      <c r="K3" s="13" t="e">
        <f>(H3-H2)/H2*100</f>
        <v>#DIV/0!</v>
      </c>
      <c r="L3" s="14" t="str">
        <f t="shared" ref="L3:L66" si="0">IFERROR(IF(OR(J3="",ISBLANK(J3)),"Normal",IF(J3&lt;=$U$6,"Sharp Price Decrease",IF(J3&gt;=$U$7,"Sharp Price Increase","Normal"))),"Normal")</f>
        <v>Normal</v>
      </c>
      <c r="M3" s="14" t="str">
        <f t="shared" ref="M3:M66" si="1">IFERROR(IF(OR(K3="",ISBLANK(K3)),"Normal",IF(K3&lt;=$U$8,"Sharp Volume Decrease",IF(K3&gt;=$U$9,"Sharp Volume Increase","Normal"))),"Normal")</f>
        <v>Normal</v>
      </c>
      <c r="N3" s="14" t="str">
        <f t="shared" ref="N3:N66" si="2">IFERROR(IF(AND(OR(L3="Sharp Price Increase",L3="Sharp Price Decrease"),OR(M3="Sharp Volume Increase",M3="Sharp Volume Decrease")),"Yes","No"),"No")</f>
        <v>No</v>
      </c>
      <c r="T3" s="2" t="s">
        <v>18</v>
      </c>
      <c r="U3" s="2" t="s">
        <v>19</v>
      </c>
    </row>
    <row r="4" spans="1:21" x14ac:dyDescent="0.25">
      <c r="A4" s="9">
        <v>43468</v>
      </c>
      <c r="B4" s="10">
        <v>2019</v>
      </c>
      <c r="C4" s="11">
        <v>750</v>
      </c>
      <c r="D4" s="11">
        <v>755</v>
      </c>
      <c r="E4" s="11">
        <v>740</v>
      </c>
      <c r="F4" s="11">
        <v>750</v>
      </c>
      <c r="G4" s="11">
        <v>605.97</v>
      </c>
      <c r="H4" s="12">
        <v>34641100</v>
      </c>
      <c r="I4" s="22" t="str">
        <f t="shared" ref="I4:I67" si="3">IFERROR(IF(OR(F3="",F4=""),"",IF(F4-F3&lt;0,"-",IF(F4-F3&gt;0,"+","0"))),"")</f>
        <v>+</v>
      </c>
      <c r="J4" s="13">
        <f t="shared" ref="J4:J67" si="4">(F4-F3)/F3*100</f>
        <v>1.3513513513513513</v>
      </c>
      <c r="K4" s="13">
        <f t="shared" ref="K4:K67" si="5">(H4-H3)/H3*100</f>
        <v>-34.798010122551005</v>
      </c>
      <c r="L4" s="14" t="str">
        <f t="shared" si="0"/>
        <v>Normal</v>
      </c>
      <c r="M4" s="14" t="str">
        <f t="shared" si="1"/>
        <v>Normal</v>
      </c>
      <c r="N4" s="14" t="str">
        <f t="shared" si="2"/>
        <v>No</v>
      </c>
    </row>
    <row r="5" spans="1:21" x14ac:dyDescent="0.25">
      <c r="A5" s="9">
        <v>43469</v>
      </c>
      <c r="B5" s="10">
        <v>2019</v>
      </c>
      <c r="C5" s="11">
        <v>750</v>
      </c>
      <c r="D5" s="11">
        <v>765</v>
      </c>
      <c r="E5" s="11">
        <v>745</v>
      </c>
      <c r="F5" s="11">
        <v>760</v>
      </c>
      <c r="G5" s="11">
        <v>614.04999999999995</v>
      </c>
      <c r="H5" s="12">
        <v>59878500</v>
      </c>
      <c r="I5" s="22" t="str">
        <f t="shared" si="3"/>
        <v>+</v>
      </c>
      <c r="J5" s="13">
        <f t="shared" si="4"/>
        <v>1.3333333333333335</v>
      </c>
      <c r="K5" s="13">
        <f t="shared" si="5"/>
        <v>72.853922075222783</v>
      </c>
      <c r="L5" s="14" t="str">
        <f t="shared" si="0"/>
        <v>Normal</v>
      </c>
      <c r="M5" s="14" t="str">
        <f t="shared" si="1"/>
        <v>Normal</v>
      </c>
      <c r="N5" s="14" t="str">
        <f t="shared" si="2"/>
        <v>No</v>
      </c>
      <c r="R5" s="8" t="s">
        <v>13</v>
      </c>
      <c r="S5" s="8" t="s">
        <v>14</v>
      </c>
      <c r="T5" s="8" t="s">
        <v>15</v>
      </c>
      <c r="U5" s="8" t="s">
        <v>15</v>
      </c>
    </row>
    <row r="6" spans="1:21" x14ac:dyDescent="0.25">
      <c r="A6" s="9">
        <v>43472</v>
      </c>
      <c r="B6" s="10">
        <v>2019</v>
      </c>
      <c r="C6" s="11">
        <v>775</v>
      </c>
      <c r="D6" s="11">
        <v>785</v>
      </c>
      <c r="E6" s="11">
        <v>765</v>
      </c>
      <c r="F6" s="11">
        <v>770</v>
      </c>
      <c r="G6" s="11">
        <v>622.13</v>
      </c>
      <c r="H6" s="12">
        <v>65853100</v>
      </c>
      <c r="I6" s="22" t="str">
        <f t="shared" si="3"/>
        <v>+</v>
      </c>
      <c r="J6" s="13">
        <f t="shared" si="4"/>
        <v>1.3157894736842104</v>
      </c>
      <c r="K6" s="13">
        <f t="shared" si="5"/>
        <v>9.9778718571774512</v>
      </c>
      <c r="L6" s="14" t="str">
        <f t="shared" si="0"/>
        <v>Normal</v>
      </c>
      <c r="M6" s="14" t="str">
        <f t="shared" si="1"/>
        <v>Normal</v>
      </c>
      <c r="N6" s="14" t="str">
        <f t="shared" si="2"/>
        <v>No</v>
      </c>
      <c r="R6" s="2" t="s">
        <v>8</v>
      </c>
      <c r="S6" s="2" t="s">
        <v>16</v>
      </c>
      <c r="T6" s="2">
        <v>-4.3010752688172049</v>
      </c>
      <c r="U6" s="2" cm="1">
        <f t="array" ref="U6">_xlfn.PERCENTILE.INC(_xlfn._xlws.FILTER(IFERROR(J2:J1706,""),ISNUMBER(IFERROR(J2:J1706,""))),0.05)</f>
        <v>-4.3010752688172049</v>
      </c>
    </row>
    <row r="7" spans="1:21" x14ac:dyDescent="0.25">
      <c r="A7" s="9">
        <v>43473</v>
      </c>
      <c r="B7" s="10">
        <v>2019</v>
      </c>
      <c r="C7" s="11">
        <v>775</v>
      </c>
      <c r="D7" s="11">
        <v>780</v>
      </c>
      <c r="E7" s="11">
        <v>755</v>
      </c>
      <c r="F7" s="11">
        <v>760</v>
      </c>
      <c r="G7" s="11">
        <v>614.04999999999995</v>
      </c>
      <c r="H7" s="12">
        <v>82485900</v>
      </c>
      <c r="I7" s="22" t="str">
        <f t="shared" si="3"/>
        <v>-</v>
      </c>
      <c r="J7" s="13">
        <f t="shared" si="4"/>
        <v>-1.2987012987012987</v>
      </c>
      <c r="K7" s="13">
        <f t="shared" si="5"/>
        <v>25.25742903523145</v>
      </c>
      <c r="L7" s="14" t="str">
        <f t="shared" si="0"/>
        <v>Normal</v>
      </c>
      <c r="M7" s="14" t="str">
        <f t="shared" si="1"/>
        <v>Normal</v>
      </c>
      <c r="N7" s="14" t="str">
        <f t="shared" si="2"/>
        <v>No</v>
      </c>
      <c r="R7" s="2" t="s">
        <v>8</v>
      </c>
      <c r="S7" s="2" t="s">
        <v>17</v>
      </c>
      <c r="T7" s="2">
        <v>5.3734639016897061</v>
      </c>
      <c r="U7" s="2" cm="1">
        <f t="array" ref="U7">_xlfn.PERCENTILE.INC(_xlfn._xlws.FILTER(IFERROR(J2:J1706,""),ISNUMBER(IFERROR(J2:J1706,""))),0.95)</f>
        <v>5.3725038402457743</v>
      </c>
    </row>
    <row r="8" spans="1:21" x14ac:dyDescent="0.25">
      <c r="A8" s="9">
        <v>43474</v>
      </c>
      <c r="B8" s="10">
        <v>2019</v>
      </c>
      <c r="C8" s="11">
        <v>770</v>
      </c>
      <c r="D8" s="11">
        <v>790</v>
      </c>
      <c r="E8" s="11">
        <v>765</v>
      </c>
      <c r="F8" s="11">
        <v>780</v>
      </c>
      <c r="G8" s="11">
        <v>630.21</v>
      </c>
      <c r="H8" s="12">
        <v>105654500</v>
      </c>
      <c r="I8" s="22" t="str">
        <f t="shared" si="3"/>
        <v>+</v>
      </c>
      <c r="J8" s="13">
        <f t="shared" si="4"/>
        <v>2.6315789473684208</v>
      </c>
      <c r="K8" s="13">
        <f t="shared" si="5"/>
        <v>28.087952001493587</v>
      </c>
      <c r="L8" s="14" t="str">
        <f t="shared" si="0"/>
        <v>Normal</v>
      </c>
      <c r="M8" s="14" t="str">
        <f t="shared" si="1"/>
        <v>Normal</v>
      </c>
      <c r="N8" s="14" t="str">
        <f t="shared" si="2"/>
        <v>No</v>
      </c>
      <c r="R8" s="2" t="s">
        <v>9</v>
      </c>
      <c r="S8" s="2" t="s">
        <v>16</v>
      </c>
      <c r="T8" s="2">
        <v>-56.937220308824223</v>
      </c>
      <c r="U8" s="2" cm="1">
        <f t="array" ref="U8">_xlfn.PERCENTILE.INC(_xlfn._xlws.FILTER(IFERROR(K2:K1706,""),ISNUMBER(IFERROR(K2:K1706,""))),0.05)</f>
        <v>-56.933557792193881</v>
      </c>
    </row>
    <row r="9" spans="1:21" x14ac:dyDescent="0.25">
      <c r="A9" s="9">
        <v>43475</v>
      </c>
      <c r="B9" s="10">
        <v>2019</v>
      </c>
      <c r="C9" s="11">
        <v>780</v>
      </c>
      <c r="D9" s="11">
        <v>805</v>
      </c>
      <c r="E9" s="11">
        <v>775</v>
      </c>
      <c r="F9" s="11">
        <v>790</v>
      </c>
      <c r="G9" s="11">
        <v>638.29</v>
      </c>
      <c r="H9" s="12">
        <v>150289500</v>
      </c>
      <c r="I9" s="22" t="str">
        <f t="shared" si="3"/>
        <v>+</v>
      </c>
      <c r="J9" s="13">
        <f t="shared" si="4"/>
        <v>1.2820512820512819</v>
      </c>
      <c r="K9" s="13">
        <f t="shared" si="5"/>
        <v>42.246189229990208</v>
      </c>
      <c r="L9" s="14" t="str">
        <f t="shared" si="0"/>
        <v>Normal</v>
      </c>
      <c r="M9" s="14" t="str">
        <f t="shared" si="1"/>
        <v>Normal</v>
      </c>
      <c r="N9" s="14" t="str">
        <f t="shared" si="2"/>
        <v>No</v>
      </c>
      <c r="R9" s="2" t="s">
        <v>9</v>
      </c>
      <c r="S9" s="2" t="s">
        <v>17</v>
      </c>
      <c r="T9" s="2">
        <v>166.13860128631069</v>
      </c>
      <c r="U9" s="2" cm="1">
        <f t="array" ref="U9">_xlfn.PERCENTILE.INC(_xlfn._xlws.FILTER(IFERROR(K2:K1706,""),ISNUMBER(IFERROR(K2:K1706,""))),0.95)</f>
        <v>166.11937993491557</v>
      </c>
    </row>
    <row r="10" spans="1:21" x14ac:dyDescent="0.25">
      <c r="A10" s="9">
        <v>43476</v>
      </c>
      <c r="B10" s="10">
        <v>2019</v>
      </c>
      <c r="C10" s="11">
        <v>795</v>
      </c>
      <c r="D10" s="11">
        <v>800</v>
      </c>
      <c r="E10" s="11">
        <v>780</v>
      </c>
      <c r="F10" s="11">
        <v>790</v>
      </c>
      <c r="G10" s="11">
        <v>638.29</v>
      </c>
      <c r="H10" s="12">
        <v>56407400</v>
      </c>
      <c r="I10" s="22" t="str">
        <f t="shared" si="3"/>
        <v>0</v>
      </c>
      <c r="J10" s="13">
        <f t="shared" si="4"/>
        <v>0</v>
      </c>
      <c r="K10" s="13">
        <f t="shared" si="5"/>
        <v>-62.467504383207071</v>
      </c>
      <c r="L10" s="14" t="str">
        <f t="shared" si="0"/>
        <v>Normal</v>
      </c>
      <c r="M10" s="14" t="str">
        <f t="shared" si="1"/>
        <v>Sharp Volume Decrease</v>
      </c>
      <c r="N10" s="14" t="str">
        <f t="shared" si="2"/>
        <v>No</v>
      </c>
    </row>
    <row r="11" spans="1:21" x14ac:dyDescent="0.25">
      <c r="A11" s="9">
        <v>43479</v>
      </c>
      <c r="B11" s="10">
        <v>2019</v>
      </c>
      <c r="C11" s="11">
        <v>795</v>
      </c>
      <c r="D11" s="11">
        <v>795</v>
      </c>
      <c r="E11" s="11">
        <v>775</v>
      </c>
      <c r="F11" s="11">
        <v>780</v>
      </c>
      <c r="G11" s="11">
        <v>630.21</v>
      </c>
      <c r="H11" s="12">
        <v>41648200</v>
      </c>
      <c r="I11" s="22" t="str">
        <f t="shared" si="3"/>
        <v>-</v>
      </c>
      <c r="J11" s="13">
        <f t="shared" si="4"/>
        <v>-1.2658227848101267</v>
      </c>
      <c r="K11" s="13">
        <f t="shared" si="5"/>
        <v>-26.165361282384936</v>
      </c>
      <c r="L11" s="14" t="str">
        <f t="shared" si="0"/>
        <v>Normal</v>
      </c>
      <c r="M11" s="14" t="str">
        <f t="shared" si="1"/>
        <v>Normal</v>
      </c>
      <c r="N11" s="14" t="str">
        <f t="shared" si="2"/>
        <v>No</v>
      </c>
    </row>
    <row r="12" spans="1:21" x14ac:dyDescent="0.25">
      <c r="A12" s="9">
        <v>43480</v>
      </c>
      <c r="B12" s="10">
        <v>2019</v>
      </c>
      <c r="C12" s="11">
        <v>780</v>
      </c>
      <c r="D12" s="11">
        <v>830</v>
      </c>
      <c r="E12" s="11">
        <v>780</v>
      </c>
      <c r="F12" s="11">
        <v>820</v>
      </c>
      <c r="G12" s="11">
        <v>662.53</v>
      </c>
      <c r="H12" s="12">
        <v>165281200</v>
      </c>
      <c r="I12" s="22" t="str">
        <f t="shared" si="3"/>
        <v>+</v>
      </c>
      <c r="J12" s="13">
        <f t="shared" si="4"/>
        <v>5.1282051282051277</v>
      </c>
      <c r="K12" s="13">
        <f t="shared" si="5"/>
        <v>296.85076425871949</v>
      </c>
      <c r="L12" s="14" t="str">
        <f t="shared" si="0"/>
        <v>Normal</v>
      </c>
      <c r="M12" s="14" t="str">
        <f t="shared" si="1"/>
        <v>Sharp Volume Increase</v>
      </c>
      <c r="N12" s="14" t="str">
        <f t="shared" si="2"/>
        <v>No</v>
      </c>
    </row>
    <row r="13" spans="1:21" x14ac:dyDescent="0.25">
      <c r="A13" s="9">
        <v>43481</v>
      </c>
      <c r="B13" s="10">
        <v>2019</v>
      </c>
      <c r="C13" s="11">
        <v>830</v>
      </c>
      <c r="D13" s="11">
        <v>885</v>
      </c>
      <c r="E13" s="11">
        <v>825</v>
      </c>
      <c r="F13" s="11">
        <v>870</v>
      </c>
      <c r="G13" s="11">
        <v>702.93</v>
      </c>
      <c r="H13" s="12">
        <v>245187100</v>
      </c>
      <c r="I13" s="22" t="str">
        <f t="shared" si="3"/>
        <v>+</v>
      </c>
      <c r="J13" s="13">
        <f t="shared" si="4"/>
        <v>6.0975609756097562</v>
      </c>
      <c r="K13" s="13">
        <f t="shared" si="5"/>
        <v>48.345425856056224</v>
      </c>
      <c r="L13" s="14" t="str">
        <f t="shared" si="0"/>
        <v>Sharp Price Increase</v>
      </c>
      <c r="M13" s="14" t="str">
        <f t="shared" si="1"/>
        <v>Normal</v>
      </c>
      <c r="N13" s="14" t="str">
        <f t="shared" si="2"/>
        <v>No</v>
      </c>
    </row>
    <row r="14" spans="1:21" x14ac:dyDescent="0.25">
      <c r="A14" s="9">
        <v>43482</v>
      </c>
      <c r="B14" s="10">
        <v>2019</v>
      </c>
      <c r="C14" s="11">
        <v>870</v>
      </c>
      <c r="D14" s="11">
        <v>885</v>
      </c>
      <c r="E14" s="11">
        <v>840</v>
      </c>
      <c r="F14" s="11">
        <v>845</v>
      </c>
      <c r="G14" s="11">
        <v>682.73</v>
      </c>
      <c r="H14" s="12">
        <v>92137700</v>
      </c>
      <c r="I14" s="22" t="str">
        <f t="shared" si="3"/>
        <v>-</v>
      </c>
      <c r="J14" s="13">
        <f t="shared" si="4"/>
        <v>-2.8735632183908044</v>
      </c>
      <c r="K14" s="13">
        <f t="shared" si="5"/>
        <v>-62.421473234113869</v>
      </c>
      <c r="L14" s="14" t="str">
        <f t="shared" si="0"/>
        <v>Normal</v>
      </c>
      <c r="M14" s="14" t="str">
        <f t="shared" si="1"/>
        <v>Sharp Volume Decrease</v>
      </c>
      <c r="N14" s="14" t="str">
        <f t="shared" si="2"/>
        <v>No</v>
      </c>
    </row>
    <row r="15" spans="1:21" x14ac:dyDescent="0.25">
      <c r="A15" s="9">
        <v>43483</v>
      </c>
      <c r="B15" s="10">
        <v>2019</v>
      </c>
      <c r="C15" s="11">
        <v>850</v>
      </c>
      <c r="D15" s="11">
        <v>870</v>
      </c>
      <c r="E15" s="11">
        <v>840</v>
      </c>
      <c r="F15" s="11">
        <v>850</v>
      </c>
      <c r="G15" s="11">
        <v>686.77</v>
      </c>
      <c r="H15" s="12">
        <v>73986800</v>
      </c>
      <c r="I15" s="22" t="str">
        <f t="shared" si="3"/>
        <v>+</v>
      </c>
      <c r="J15" s="13">
        <f t="shared" si="4"/>
        <v>0.59171597633136097</v>
      </c>
      <c r="K15" s="13">
        <f t="shared" si="5"/>
        <v>-19.699753738154957</v>
      </c>
      <c r="L15" s="14" t="str">
        <f t="shared" si="0"/>
        <v>Normal</v>
      </c>
      <c r="M15" s="14" t="str">
        <f t="shared" si="1"/>
        <v>Normal</v>
      </c>
      <c r="N15" s="14" t="str">
        <f t="shared" si="2"/>
        <v>No</v>
      </c>
    </row>
    <row r="16" spans="1:21" x14ac:dyDescent="0.25">
      <c r="A16" s="9">
        <v>43486</v>
      </c>
      <c r="B16" s="10">
        <v>2019</v>
      </c>
      <c r="C16" s="11">
        <v>855</v>
      </c>
      <c r="D16" s="11">
        <v>870</v>
      </c>
      <c r="E16" s="11">
        <v>850</v>
      </c>
      <c r="F16" s="11">
        <v>855</v>
      </c>
      <c r="G16" s="11">
        <v>690.81</v>
      </c>
      <c r="H16" s="12">
        <v>72190100</v>
      </c>
      <c r="I16" s="22" t="str">
        <f t="shared" si="3"/>
        <v>+</v>
      </c>
      <c r="J16" s="13">
        <f t="shared" si="4"/>
        <v>0.58823529411764708</v>
      </c>
      <c r="K16" s="13">
        <f t="shared" si="5"/>
        <v>-2.4284061481237194</v>
      </c>
      <c r="L16" s="14" t="str">
        <f t="shared" si="0"/>
        <v>Normal</v>
      </c>
      <c r="M16" s="14" t="str">
        <f t="shared" si="1"/>
        <v>Normal</v>
      </c>
      <c r="N16" s="14" t="str">
        <f t="shared" si="2"/>
        <v>No</v>
      </c>
    </row>
    <row r="17" spans="1:24" x14ac:dyDescent="0.25">
      <c r="A17" s="9">
        <v>43487</v>
      </c>
      <c r="B17" s="10">
        <v>2019</v>
      </c>
      <c r="C17" s="11">
        <v>855</v>
      </c>
      <c r="D17" s="11">
        <v>860</v>
      </c>
      <c r="E17" s="11">
        <v>820</v>
      </c>
      <c r="F17" s="11">
        <v>830</v>
      </c>
      <c r="G17" s="11">
        <v>670.61</v>
      </c>
      <c r="H17" s="12">
        <v>77107300</v>
      </c>
      <c r="I17" s="22" t="str">
        <f t="shared" si="3"/>
        <v>-</v>
      </c>
      <c r="J17" s="13">
        <f t="shared" si="4"/>
        <v>-2.9239766081871341</v>
      </c>
      <c r="K17" s="13">
        <f t="shared" si="5"/>
        <v>6.8114602971875646</v>
      </c>
      <c r="L17" s="14" t="str">
        <f t="shared" si="0"/>
        <v>Normal</v>
      </c>
      <c r="M17" s="14" t="str">
        <f t="shared" si="1"/>
        <v>Normal</v>
      </c>
      <c r="N17" s="14" t="str">
        <f t="shared" si="2"/>
        <v>No</v>
      </c>
      <c r="R17" s="8" t="s">
        <v>1</v>
      </c>
      <c r="S17" s="8" t="s">
        <v>20</v>
      </c>
      <c r="T17" s="8" t="s">
        <v>21</v>
      </c>
      <c r="U17" s="8" t="s">
        <v>22</v>
      </c>
      <c r="V17" s="8" t="s">
        <v>23</v>
      </c>
      <c r="W17" s="8" t="s">
        <v>24</v>
      </c>
      <c r="X17" s="8" t="s">
        <v>25</v>
      </c>
    </row>
    <row r="18" spans="1:24" x14ac:dyDescent="0.25">
      <c r="A18" s="9">
        <v>43488</v>
      </c>
      <c r="B18" s="10">
        <v>2019</v>
      </c>
      <c r="C18" s="11">
        <v>830</v>
      </c>
      <c r="D18" s="11">
        <v>885</v>
      </c>
      <c r="E18" s="11">
        <v>825</v>
      </c>
      <c r="F18" s="11">
        <v>860</v>
      </c>
      <c r="G18" s="11">
        <v>694.85</v>
      </c>
      <c r="H18" s="12">
        <v>141396200</v>
      </c>
      <c r="I18" s="22" t="str">
        <f t="shared" si="3"/>
        <v>+</v>
      </c>
      <c r="J18" s="13">
        <f t="shared" si="4"/>
        <v>3.6144578313253009</v>
      </c>
      <c r="K18" s="13">
        <f t="shared" si="5"/>
        <v>83.375893073677858</v>
      </c>
      <c r="L18" s="14" t="str">
        <f t="shared" si="0"/>
        <v>Normal</v>
      </c>
      <c r="M18" s="14" t="str">
        <f t="shared" si="1"/>
        <v>Normal</v>
      </c>
      <c r="N18" s="14" t="str">
        <f t="shared" si="2"/>
        <v>No</v>
      </c>
      <c r="R18" s="2">
        <v>2019</v>
      </c>
      <c r="S18" s="2">
        <v>258</v>
      </c>
      <c r="T18" s="2">
        <v>10</v>
      </c>
      <c r="U18" s="2">
        <v>10</v>
      </c>
      <c r="V18" s="2">
        <v>11</v>
      </c>
      <c r="W18" s="2">
        <v>16</v>
      </c>
      <c r="X18" s="2">
        <v>4</v>
      </c>
    </row>
    <row r="19" spans="1:24" x14ac:dyDescent="0.25">
      <c r="A19" s="9">
        <v>43489</v>
      </c>
      <c r="B19" s="10">
        <v>2019</v>
      </c>
      <c r="C19" s="11">
        <v>865</v>
      </c>
      <c r="D19" s="11">
        <v>905</v>
      </c>
      <c r="E19" s="11">
        <v>855</v>
      </c>
      <c r="F19" s="11">
        <v>895</v>
      </c>
      <c r="G19" s="11">
        <v>723.13</v>
      </c>
      <c r="H19" s="12">
        <v>196537400</v>
      </c>
      <c r="I19" s="22" t="str">
        <f t="shared" si="3"/>
        <v>+</v>
      </c>
      <c r="J19" s="13">
        <f t="shared" si="4"/>
        <v>4.0697674418604652</v>
      </c>
      <c r="K19" s="13">
        <f t="shared" si="5"/>
        <v>38.997653402283795</v>
      </c>
      <c r="L19" s="14" t="str">
        <f t="shared" si="0"/>
        <v>Normal</v>
      </c>
      <c r="M19" s="14" t="str">
        <f t="shared" si="1"/>
        <v>Normal</v>
      </c>
      <c r="N19" s="14" t="str">
        <f t="shared" si="2"/>
        <v>No</v>
      </c>
      <c r="R19" s="2">
        <v>2020</v>
      </c>
      <c r="S19" s="2">
        <v>242</v>
      </c>
      <c r="T19" s="2">
        <v>21</v>
      </c>
      <c r="U19" s="2">
        <v>19</v>
      </c>
      <c r="V19" s="2">
        <v>18</v>
      </c>
      <c r="W19" s="2">
        <v>19</v>
      </c>
      <c r="X19" s="2">
        <v>11</v>
      </c>
    </row>
    <row r="20" spans="1:24" x14ac:dyDescent="0.25">
      <c r="A20" s="9">
        <v>43490</v>
      </c>
      <c r="B20" s="10">
        <v>2019</v>
      </c>
      <c r="C20" s="11">
        <v>895</v>
      </c>
      <c r="D20" s="11">
        <v>945</v>
      </c>
      <c r="E20" s="11">
        <v>895</v>
      </c>
      <c r="F20" s="11">
        <v>930</v>
      </c>
      <c r="G20" s="11">
        <v>751.41</v>
      </c>
      <c r="H20" s="12">
        <v>261090200</v>
      </c>
      <c r="I20" s="22" t="str">
        <f t="shared" si="3"/>
        <v>+</v>
      </c>
      <c r="J20" s="13">
        <f t="shared" si="4"/>
        <v>3.9106145251396649</v>
      </c>
      <c r="K20" s="13">
        <f t="shared" si="5"/>
        <v>32.845046286355675</v>
      </c>
      <c r="L20" s="14" t="str">
        <f t="shared" si="0"/>
        <v>Normal</v>
      </c>
      <c r="M20" s="14" t="str">
        <f t="shared" si="1"/>
        <v>Normal</v>
      </c>
      <c r="N20" s="14" t="str">
        <f t="shared" si="2"/>
        <v>No</v>
      </c>
      <c r="R20" s="2">
        <v>2021</v>
      </c>
      <c r="S20" s="2">
        <v>247</v>
      </c>
      <c r="T20" s="2">
        <v>14</v>
      </c>
      <c r="U20" s="2">
        <v>16</v>
      </c>
      <c r="V20" s="2">
        <v>14</v>
      </c>
      <c r="W20" s="2">
        <v>14</v>
      </c>
      <c r="X20" s="2">
        <v>8</v>
      </c>
    </row>
    <row r="21" spans="1:24" x14ac:dyDescent="0.25">
      <c r="A21" s="9">
        <v>43493</v>
      </c>
      <c r="B21" s="10">
        <v>2019</v>
      </c>
      <c r="C21" s="11">
        <v>945</v>
      </c>
      <c r="D21" s="11">
        <v>950</v>
      </c>
      <c r="E21" s="11">
        <v>910</v>
      </c>
      <c r="F21" s="11">
        <v>910</v>
      </c>
      <c r="G21" s="11">
        <v>735.25</v>
      </c>
      <c r="H21" s="12">
        <v>132450700</v>
      </c>
      <c r="I21" s="22" t="str">
        <f t="shared" si="3"/>
        <v>-</v>
      </c>
      <c r="J21" s="13">
        <f t="shared" si="4"/>
        <v>-2.1505376344086025</v>
      </c>
      <c r="K21" s="13">
        <f t="shared" si="5"/>
        <v>-49.270137293548359</v>
      </c>
      <c r="L21" s="14" t="str">
        <f t="shared" si="0"/>
        <v>Normal</v>
      </c>
      <c r="M21" s="14" t="str">
        <f t="shared" si="1"/>
        <v>Normal</v>
      </c>
      <c r="N21" s="14" t="str">
        <f t="shared" si="2"/>
        <v>No</v>
      </c>
      <c r="R21" s="2">
        <v>2022</v>
      </c>
      <c r="S21" s="2">
        <v>246</v>
      </c>
      <c r="T21" s="2">
        <v>14</v>
      </c>
      <c r="U21" s="2">
        <v>15</v>
      </c>
      <c r="V21" s="2">
        <v>13</v>
      </c>
      <c r="W21" s="2">
        <v>6</v>
      </c>
      <c r="X21" s="2">
        <v>7</v>
      </c>
    </row>
    <row r="22" spans="1:24" x14ac:dyDescent="0.25">
      <c r="A22" s="9">
        <v>43494</v>
      </c>
      <c r="B22" s="10">
        <v>2019</v>
      </c>
      <c r="C22" s="11">
        <v>910</v>
      </c>
      <c r="D22" s="11">
        <v>930</v>
      </c>
      <c r="E22" s="11">
        <v>900</v>
      </c>
      <c r="F22" s="11">
        <v>920</v>
      </c>
      <c r="G22" s="11">
        <v>743.33</v>
      </c>
      <c r="H22" s="12">
        <v>96595800</v>
      </c>
      <c r="I22" s="22" t="str">
        <f t="shared" si="3"/>
        <v>+</v>
      </c>
      <c r="J22" s="13">
        <f t="shared" si="4"/>
        <v>1.098901098901099</v>
      </c>
      <c r="K22" s="13">
        <f t="shared" si="5"/>
        <v>-27.070374109008107</v>
      </c>
      <c r="L22" s="14" t="str">
        <f t="shared" si="0"/>
        <v>Normal</v>
      </c>
      <c r="M22" s="14" t="str">
        <f t="shared" si="1"/>
        <v>Normal</v>
      </c>
      <c r="N22" s="14" t="str">
        <f t="shared" si="2"/>
        <v>No</v>
      </c>
      <c r="R22" s="2">
        <v>2023</v>
      </c>
      <c r="S22" s="2">
        <v>239</v>
      </c>
      <c r="T22" s="2">
        <v>2</v>
      </c>
      <c r="U22" s="2">
        <v>0</v>
      </c>
      <c r="V22" s="2">
        <v>9</v>
      </c>
      <c r="W22" s="2">
        <v>11</v>
      </c>
      <c r="X22" s="2">
        <v>0</v>
      </c>
    </row>
    <row r="23" spans="1:24" x14ac:dyDescent="0.25">
      <c r="A23" s="9">
        <v>43495</v>
      </c>
      <c r="B23" s="10">
        <v>2019</v>
      </c>
      <c r="C23" s="11">
        <v>935</v>
      </c>
      <c r="D23" s="11">
        <v>960</v>
      </c>
      <c r="E23" s="11">
        <v>935</v>
      </c>
      <c r="F23" s="11">
        <v>950</v>
      </c>
      <c r="G23" s="11">
        <v>767.56</v>
      </c>
      <c r="H23" s="12">
        <v>180203800</v>
      </c>
      <c r="I23" s="22" t="str">
        <f t="shared" si="3"/>
        <v>+</v>
      </c>
      <c r="J23" s="13">
        <f t="shared" si="4"/>
        <v>3.2608695652173911</v>
      </c>
      <c r="K23" s="13">
        <f t="shared" si="5"/>
        <v>86.554487876284483</v>
      </c>
      <c r="L23" s="14" t="str">
        <f t="shared" si="0"/>
        <v>Normal</v>
      </c>
      <c r="M23" s="14" t="str">
        <f t="shared" si="1"/>
        <v>Normal</v>
      </c>
      <c r="N23" s="14" t="str">
        <f t="shared" si="2"/>
        <v>No</v>
      </c>
      <c r="R23" s="2">
        <v>2024</v>
      </c>
      <c r="S23" s="2">
        <v>237</v>
      </c>
      <c r="T23" s="2">
        <v>7</v>
      </c>
      <c r="U23" s="2">
        <v>10</v>
      </c>
      <c r="V23" s="2">
        <v>11</v>
      </c>
      <c r="W23" s="2">
        <v>13</v>
      </c>
      <c r="X23" s="2">
        <v>4</v>
      </c>
    </row>
    <row r="24" spans="1:24" x14ac:dyDescent="0.25">
      <c r="A24" s="9">
        <v>43496</v>
      </c>
      <c r="B24" s="10">
        <v>2019</v>
      </c>
      <c r="C24" s="11">
        <v>965</v>
      </c>
      <c r="D24" s="11">
        <v>980</v>
      </c>
      <c r="E24" s="11">
        <v>955</v>
      </c>
      <c r="F24" s="11">
        <v>965</v>
      </c>
      <c r="G24" s="11">
        <v>779.68</v>
      </c>
      <c r="H24" s="12">
        <v>133938100</v>
      </c>
      <c r="I24" s="22" t="str">
        <f t="shared" si="3"/>
        <v>+</v>
      </c>
      <c r="J24" s="13">
        <f t="shared" si="4"/>
        <v>1.5789473684210527</v>
      </c>
      <c r="K24" s="13">
        <f t="shared" si="5"/>
        <v>-25.674097882508583</v>
      </c>
      <c r="L24" s="14" t="str">
        <f t="shared" si="0"/>
        <v>Normal</v>
      </c>
      <c r="M24" s="14" t="str">
        <f t="shared" si="1"/>
        <v>Normal</v>
      </c>
      <c r="N24" s="14" t="str">
        <f t="shared" si="2"/>
        <v>No</v>
      </c>
      <c r="R24" s="2">
        <v>2025</v>
      </c>
      <c r="S24" s="2">
        <v>236</v>
      </c>
      <c r="T24" s="2">
        <v>18</v>
      </c>
      <c r="U24" s="2">
        <v>17</v>
      </c>
      <c r="V24" s="2">
        <v>9</v>
      </c>
      <c r="W24" s="2">
        <v>6</v>
      </c>
      <c r="X24" s="2">
        <v>8</v>
      </c>
    </row>
    <row r="25" spans="1:24" x14ac:dyDescent="0.25">
      <c r="A25" s="9">
        <v>43497</v>
      </c>
      <c r="B25" s="10">
        <v>2019</v>
      </c>
      <c r="C25" s="11">
        <v>975</v>
      </c>
      <c r="D25" s="11">
        <v>975</v>
      </c>
      <c r="E25" s="11">
        <v>955</v>
      </c>
      <c r="F25" s="11">
        <v>960</v>
      </c>
      <c r="G25" s="11">
        <v>775.64</v>
      </c>
      <c r="H25" s="12">
        <v>59971800</v>
      </c>
      <c r="I25" s="22" t="str">
        <f t="shared" si="3"/>
        <v>-</v>
      </c>
      <c r="J25" s="13">
        <f t="shared" si="4"/>
        <v>-0.5181347150259068</v>
      </c>
      <c r="K25" s="13">
        <f t="shared" si="5"/>
        <v>-55.224241645954365</v>
      </c>
      <c r="L25" s="14" t="str">
        <f t="shared" si="0"/>
        <v>Normal</v>
      </c>
      <c r="M25" s="14" t="str">
        <f t="shared" si="1"/>
        <v>Normal</v>
      </c>
      <c r="N25" s="14" t="str">
        <f t="shared" si="2"/>
        <v>No</v>
      </c>
    </row>
    <row r="26" spans="1:24" x14ac:dyDescent="0.25">
      <c r="A26" s="9">
        <v>43500</v>
      </c>
      <c r="B26" s="10">
        <v>2019</v>
      </c>
      <c r="C26" s="11">
        <v>970</v>
      </c>
      <c r="D26" s="11">
        <v>1040</v>
      </c>
      <c r="E26" s="11">
        <v>970</v>
      </c>
      <c r="F26" s="11">
        <v>1010</v>
      </c>
      <c r="G26" s="11">
        <v>816.04</v>
      </c>
      <c r="H26" s="12">
        <v>303518900</v>
      </c>
      <c r="I26" s="22" t="str">
        <f t="shared" si="3"/>
        <v>+</v>
      </c>
      <c r="J26" s="13">
        <f t="shared" si="4"/>
        <v>5.2083333333333339</v>
      </c>
      <c r="K26" s="13">
        <f t="shared" si="5"/>
        <v>406.10270160308676</v>
      </c>
      <c r="L26" s="14" t="str">
        <f t="shared" si="0"/>
        <v>Normal</v>
      </c>
      <c r="M26" s="14" t="str">
        <f t="shared" si="1"/>
        <v>Sharp Volume Increase</v>
      </c>
      <c r="N26" s="14" t="str">
        <f t="shared" si="2"/>
        <v>No</v>
      </c>
    </row>
    <row r="27" spans="1:24" x14ac:dyDescent="0.25">
      <c r="A27" s="9">
        <v>43501</v>
      </c>
      <c r="B27" s="10">
        <v>2019</v>
      </c>
      <c r="C27" s="11">
        <v>1010</v>
      </c>
      <c r="D27" s="11">
        <v>1010</v>
      </c>
      <c r="E27" s="11">
        <v>1010</v>
      </c>
      <c r="F27" s="11">
        <v>1010</v>
      </c>
      <c r="G27" s="11">
        <v>816.04</v>
      </c>
      <c r="H27" s="12"/>
      <c r="I27" s="22" t="str">
        <f t="shared" si="3"/>
        <v>0</v>
      </c>
      <c r="J27" s="13">
        <f t="shared" si="4"/>
        <v>0</v>
      </c>
      <c r="K27" s="13">
        <f t="shared" si="5"/>
        <v>-100</v>
      </c>
      <c r="L27" s="14" t="str">
        <f t="shared" si="0"/>
        <v>Normal</v>
      </c>
      <c r="M27" s="14" t="str">
        <f t="shared" si="1"/>
        <v>Sharp Volume Decrease</v>
      </c>
      <c r="N27" s="14" t="str">
        <f t="shared" si="2"/>
        <v>No</v>
      </c>
    </row>
    <row r="28" spans="1:24" x14ac:dyDescent="0.25">
      <c r="A28" s="9">
        <v>43502</v>
      </c>
      <c r="B28" s="10">
        <v>2019</v>
      </c>
      <c r="C28" s="11">
        <v>1025</v>
      </c>
      <c r="D28" s="11">
        <v>1100</v>
      </c>
      <c r="E28" s="11">
        <v>1005</v>
      </c>
      <c r="F28" s="11">
        <v>1095</v>
      </c>
      <c r="G28" s="11">
        <v>884.72</v>
      </c>
      <c r="H28" s="12">
        <v>285524200</v>
      </c>
      <c r="I28" s="22" t="str">
        <f t="shared" si="3"/>
        <v>+</v>
      </c>
      <c r="J28" s="13">
        <f t="shared" si="4"/>
        <v>8.4158415841584162</v>
      </c>
      <c r="K28" s="13" t="e">
        <f t="shared" si="5"/>
        <v>#DIV/0!</v>
      </c>
      <c r="L28" s="14" t="str">
        <f t="shared" si="0"/>
        <v>Sharp Price Increase</v>
      </c>
      <c r="M28" s="14" t="str">
        <f t="shared" si="1"/>
        <v>Normal</v>
      </c>
      <c r="N28" s="14" t="str">
        <f t="shared" si="2"/>
        <v>No</v>
      </c>
      <c r="R28" s="8" t="s">
        <v>1</v>
      </c>
      <c r="S28" s="8" t="s">
        <v>20</v>
      </c>
      <c r="T28" s="8" t="s">
        <v>21</v>
      </c>
      <c r="U28" s="8" t="s">
        <v>22</v>
      </c>
      <c r="V28" s="8" t="s">
        <v>23</v>
      </c>
      <c r="W28" s="8" t="s">
        <v>24</v>
      </c>
      <c r="X28" s="8" t="s">
        <v>25</v>
      </c>
    </row>
    <row r="29" spans="1:24" x14ac:dyDescent="0.25">
      <c r="A29" s="9">
        <v>43503</v>
      </c>
      <c r="B29" s="10">
        <v>2019</v>
      </c>
      <c r="C29" s="11">
        <v>1080</v>
      </c>
      <c r="D29" s="11">
        <v>1150</v>
      </c>
      <c r="E29" s="11">
        <v>1050</v>
      </c>
      <c r="F29" s="11">
        <v>1060</v>
      </c>
      <c r="G29" s="11">
        <v>856.44</v>
      </c>
      <c r="H29" s="12">
        <v>369835900</v>
      </c>
      <c r="I29" s="22" t="str">
        <f t="shared" si="3"/>
        <v>-</v>
      </c>
      <c r="J29" s="13">
        <f t="shared" si="4"/>
        <v>-3.1963470319634704</v>
      </c>
      <c r="K29" s="13">
        <f t="shared" si="5"/>
        <v>29.52874047103538</v>
      </c>
      <c r="L29" s="14" t="str">
        <f t="shared" si="0"/>
        <v>Normal</v>
      </c>
      <c r="M29" s="14" t="str">
        <f t="shared" si="1"/>
        <v>Normal</v>
      </c>
      <c r="N29" s="14" t="str">
        <f t="shared" si="2"/>
        <v>No</v>
      </c>
      <c r="R29" s="2">
        <v>2019</v>
      </c>
      <c r="S29" s="2">
        <f>COUNTIF($B$2:$B$1706,R29)</f>
        <v>258</v>
      </c>
      <c r="T29" s="2">
        <f>COUNTIFS(B2:B1706,R29,L2:L1706,$R$38)</f>
        <v>10</v>
      </c>
      <c r="U29" s="2">
        <f>COUNTIFS(B2:B1706,R29,L2:L1706,$R$39)</f>
        <v>10</v>
      </c>
      <c r="V29" s="2">
        <f>COUNTIFS(B2:B1706,R29,M2:M1706,$R$41)</f>
        <v>11</v>
      </c>
      <c r="W29" s="2">
        <f>COUNTIFS(B2:B1706,R29,M2:M1706,$R$42)</f>
        <v>16</v>
      </c>
      <c r="X29" s="2">
        <f>COUNTIFS($B$2:$B$1706,R29,$N$2:$N$1706,"Yes")</f>
        <v>4</v>
      </c>
    </row>
    <row r="30" spans="1:24" x14ac:dyDescent="0.25">
      <c r="A30" s="9">
        <v>43504</v>
      </c>
      <c r="B30" s="10">
        <v>2019</v>
      </c>
      <c r="C30" s="11">
        <v>1050</v>
      </c>
      <c r="D30" s="11">
        <v>1080</v>
      </c>
      <c r="E30" s="11">
        <v>1025</v>
      </c>
      <c r="F30" s="11">
        <v>1025</v>
      </c>
      <c r="G30" s="11">
        <v>828.16</v>
      </c>
      <c r="H30" s="12">
        <v>179593300</v>
      </c>
      <c r="I30" s="22" t="str">
        <f t="shared" si="3"/>
        <v>-</v>
      </c>
      <c r="J30" s="13">
        <f t="shared" si="4"/>
        <v>-3.3018867924528301</v>
      </c>
      <c r="K30" s="13">
        <f t="shared" si="5"/>
        <v>-51.43973313569613</v>
      </c>
      <c r="L30" s="14" t="str">
        <f t="shared" si="0"/>
        <v>Normal</v>
      </c>
      <c r="M30" s="14" t="str">
        <f t="shared" si="1"/>
        <v>Normal</v>
      </c>
      <c r="N30" s="14" t="str">
        <f t="shared" si="2"/>
        <v>No</v>
      </c>
      <c r="R30" s="2">
        <v>2020</v>
      </c>
      <c r="S30" s="2">
        <f t="shared" ref="S30:S35" si="6">COUNTIF($B$2:$B$1706,R30)</f>
        <v>242</v>
      </c>
      <c r="T30" s="2">
        <f t="shared" ref="T30:T35" si="7">COUNTIFS(B3:B1707,R30,L3:L1707,$R$38)</f>
        <v>21</v>
      </c>
      <c r="U30" s="2">
        <f t="shared" ref="U30:U35" si="8">COUNTIFS(B3:B1707,R30,L3:L1707,$R$39)</f>
        <v>19</v>
      </c>
      <c r="V30" s="2">
        <f t="shared" ref="V30:V35" si="9">COUNTIFS(B3:B1707,R30,M3:M1707,$R$41)</f>
        <v>18</v>
      </c>
      <c r="W30" s="2">
        <f>COUNTIFS(B3:B1707,R30,M3:M1707,$R$42)</f>
        <v>19</v>
      </c>
      <c r="X30" s="2">
        <f t="shared" ref="X30:X35" si="10">COUNTIFS($B$2:$B$1706,R30,$N$2:$N$1706,"Yes")</f>
        <v>14</v>
      </c>
    </row>
    <row r="31" spans="1:24" x14ac:dyDescent="0.25">
      <c r="A31" s="9">
        <v>43507</v>
      </c>
      <c r="B31" s="10">
        <v>2019</v>
      </c>
      <c r="C31" s="11">
        <v>1025</v>
      </c>
      <c r="D31" s="11">
        <v>1025</v>
      </c>
      <c r="E31" s="11">
        <v>975</v>
      </c>
      <c r="F31" s="11">
        <v>980</v>
      </c>
      <c r="G31" s="11">
        <v>791.8</v>
      </c>
      <c r="H31" s="12">
        <v>222915600</v>
      </c>
      <c r="I31" s="22" t="str">
        <f t="shared" si="3"/>
        <v>-</v>
      </c>
      <c r="J31" s="13">
        <f t="shared" si="4"/>
        <v>-4.3902439024390238</v>
      </c>
      <c r="K31" s="13">
        <f t="shared" si="5"/>
        <v>24.122447775056198</v>
      </c>
      <c r="L31" s="14" t="str">
        <f t="shared" si="0"/>
        <v>Sharp Price Decrease</v>
      </c>
      <c r="M31" s="14" t="str">
        <f t="shared" si="1"/>
        <v>Normal</v>
      </c>
      <c r="N31" s="14" t="str">
        <f t="shared" si="2"/>
        <v>No</v>
      </c>
      <c r="R31" s="2">
        <v>2021</v>
      </c>
      <c r="S31" s="2">
        <f t="shared" si="6"/>
        <v>247</v>
      </c>
      <c r="T31" s="2">
        <f t="shared" si="7"/>
        <v>14</v>
      </c>
      <c r="U31" s="2">
        <f t="shared" si="8"/>
        <v>16</v>
      </c>
      <c r="V31" s="2">
        <f t="shared" si="9"/>
        <v>14</v>
      </c>
      <c r="W31" s="2">
        <f>COUNTIFS(B4:B1708,R31,M4:M1708,$R$42)</f>
        <v>14</v>
      </c>
      <c r="X31" s="2">
        <f t="shared" si="10"/>
        <v>9</v>
      </c>
    </row>
    <row r="32" spans="1:24" x14ac:dyDescent="0.25">
      <c r="A32" s="9">
        <v>43508</v>
      </c>
      <c r="B32" s="10">
        <v>2019</v>
      </c>
      <c r="C32" s="11">
        <v>980</v>
      </c>
      <c r="D32" s="11">
        <v>995</v>
      </c>
      <c r="E32" s="11">
        <v>935</v>
      </c>
      <c r="F32" s="11">
        <v>960</v>
      </c>
      <c r="G32" s="11">
        <v>775.64</v>
      </c>
      <c r="H32" s="12">
        <v>182840300</v>
      </c>
      <c r="I32" s="22" t="str">
        <f t="shared" si="3"/>
        <v>-</v>
      </c>
      <c r="J32" s="13">
        <f t="shared" si="4"/>
        <v>-2.0408163265306123</v>
      </c>
      <c r="K32" s="13">
        <f t="shared" si="5"/>
        <v>-17.977790697465768</v>
      </c>
      <c r="L32" s="14" t="str">
        <f t="shared" si="0"/>
        <v>Normal</v>
      </c>
      <c r="M32" s="14" t="str">
        <f t="shared" si="1"/>
        <v>Normal</v>
      </c>
      <c r="N32" s="14" t="str">
        <f t="shared" si="2"/>
        <v>No</v>
      </c>
      <c r="R32" s="2">
        <v>2022</v>
      </c>
      <c r="S32" s="2">
        <f t="shared" si="6"/>
        <v>246</v>
      </c>
      <c r="T32" s="2">
        <f t="shared" si="7"/>
        <v>14</v>
      </c>
      <c r="U32" s="2">
        <f t="shared" si="8"/>
        <v>15</v>
      </c>
      <c r="V32" s="2">
        <f t="shared" si="9"/>
        <v>13</v>
      </c>
      <c r="W32" s="2">
        <f>COUNTIFS(B5:B1709,R32,M5:M1709,$R$42)</f>
        <v>6</v>
      </c>
      <c r="X32" s="2">
        <f t="shared" si="10"/>
        <v>7</v>
      </c>
    </row>
    <row r="33" spans="1:24" x14ac:dyDescent="0.25">
      <c r="A33" s="9">
        <v>43509</v>
      </c>
      <c r="B33" s="10">
        <v>2019</v>
      </c>
      <c r="C33" s="11">
        <v>975</v>
      </c>
      <c r="D33" s="11">
        <v>1040</v>
      </c>
      <c r="E33" s="11">
        <v>950</v>
      </c>
      <c r="F33" s="11">
        <v>1010</v>
      </c>
      <c r="G33" s="11">
        <v>816.04</v>
      </c>
      <c r="H33" s="12">
        <v>277124100</v>
      </c>
      <c r="I33" s="22" t="str">
        <f t="shared" si="3"/>
        <v>+</v>
      </c>
      <c r="J33" s="13">
        <f t="shared" si="4"/>
        <v>5.2083333333333339</v>
      </c>
      <c r="K33" s="13">
        <f t="shared" si="5"/>
        <v>51.566202855716156</v>
      </c>
      <c r="L33" s="14" t="str">
        <f t="shared" si="0"/>
        <v>Normal</v>
      </c>
      <c r="M33" s="14" t="str">
        <f t="shared" si="1"/>
        <v>Normal</v>
      </c>
      <c r="N33" s="14" t="str">
        <f t="shared" si="2"/>
        <v>No</v>
      </c>
      <c r="R33" s="2">
        <v>2023</v>
      </c>
      <c r="S33" s="2">
        <f t="shared" si="6"/>
        <v>239</v>
      </c>
      <c r="T33" s="2">
        <f t="shared" si="7"/>
        <v>2</v>
      </c>
      <c r="U33" s="2">
        <f t="shared" si="8"/>
        <v>0</v>
      </c>
      <c r="V33" s="2">
        <f t="shared" si="9"/>
        <v>9</v>
      </c>
      <c r="W33" s="2">
        <f>COUNTIFS(B6:B1710,R33,M6:M1710,$R$42)</f>
        <v>11</v>
      </c>
      <c r="X33" s="2">
        <f t="shared" si="10"/>
        <v>0</v>
      </c>
    </row>
    <row r="34" spans="1:24" x14ac:dyDescent="0.25">
      <c r="A34" s="9">
        <v>43510</v>
      </c>
      <c r="B34" s="10">
        <v>2019</v>
      </c>
      <c r="C34" s="11">
        <v>1020</v>
      </c>
      <c r="D34" s="11">
        <v>1030</v>
      </c>
      <c r="E34" s="11">
        <v>985</v>
      </c>
      <c r="F34" s="11">
        <v>1000</v>
      </c>
      <c r="G34" s="11">
        <v>807.96</v>
      </c>
      <c r="H34" s="12">
        <v>139034400</v>
      </c>
      <c r="I34" s="22" t="str">
        <f t="shared" si="3"/>
        <v>-</v>
      </c>
      <c r="J34" s="13">
        <f t="shared" si="4"/>
        <v>-0.99009900990099009</v>
      </c>
      <c r="K34" s="13">
        <f t="shared" si="5"/>
        <v>-49.829552897059479</v>
      </c>
      <c r="L34" s="14" t="str">
        <f t="shared" si="0"/>
        <v>Normal</v>
      </c>
      <c r="M34" s="14" t="str">
        <f t="shared" si="1"/>
        <v>Normal</v>
      </c>
      <c r="N34" s="14" t="str">
        <f t="shared" si="2"/>
        <v>No</v>
      </c>
      <c r="R34" s="2">
        <v>2024</v>
      </c>
      <c r="S34" s="2">
        <f t="shared" si="6"/>
        <v>237</v>
      </c>
      <c r="T34" s="2">
        <f t="shared" si="7"/>
        <v>7</v>
      </c>
      <c r="U34" s="2">
        <f t="shared" si="8"/>
        <v>10</v>
      </c>
      <c r="V34" s="2">
        <f t="shared" si="9"/>
        <v>11</v>
      </c>
      <c r="W34" s="2">
        <f>COUNTIFS(B7:B1711,R34,M7:M1711,$R$42)</f>
        <v>13</v>
      </c>
      <c r="X34" s="2">
        <f t="shared" si="10"/>
        <v>5</v>
      </c>
    </row>
    <row r="35" spans="1:24" x14ac:dyDescent="0.25">
      <c r="A35" s="9">
        <v>43511</v>
      </c>
      <c r="B35" s="10">
        <v>2019</v>
      </c>
      <c r="C35" s="11">
        <v>990</v>
      </c>
      <c r="D35" s="11">
        <v>995</v>
      </c>
      <c r="E35" s="11">
        <v>950</v>
      </c>
      <c r="F35" s="11">
        <v>950</v>
      </c>
      <c r="G35" s="11">
        <v>767.56</v>
      </c>
      <c r="H35" s="12">
        <v>142476600</v>
      </c>
      <c r="I35" s="22" t="str">
        <f t="shared" si="3"/>
        <v>-</v>
      </c>
      <c r="J35" s="13">
        <f t="shared" si="4"/>
        <v>-5</v>
      </c>
      <c r="K35" s="13">
        <f t="shared" si="5"/>
        <v>2.475790164160812</v>
      </c>
      <c r="L35" s="14" t="str">
        <f t="shared" si="0"/>
        <v>Sharp Price Decrease</v>
      </c>
      <c r="M35" s="14" t="str">
        <f t="shared" si="1"/>
        <v>Normal</v>
      </c>
      <c r="N35" s="14" t="str">
        <f t="shared" si="2"/>
        <v>No</v>
      </c>
      <c r="R35" s="2">
        <v>2025</v>
      </c>
      <c r="S35" s="2">
        <f t="shared" si="6"/>
        <v>236</v>
      </c>
      <c r="T35" s="2">
        <f t="shared" si="7"/>
        <v>18</v>
      </c>
      <c r="U35" s="2">
        <f t="shared" si="8"/>
        <v>17</v>
      </c>
      <c r="V35" s="2">
        <f t="shared" si="9"/>
        <v>9</v>
      </c>
      <c r="W35" s="2">
        <f>COUNTIFS(B8:B1712,R35,M8:M1712,$R$42)</f>
        <v>6</v>
      </c>
      <c r="X35" s="2">
        <f t="shared" si="10"/>
        <v>8</v>
      </c>
    </row>
    <row r="36" spans="1:24" x14ac:dyDescent="0.25">
      <c r="A36" s="9">
        <v>43514</v>
      </c>
      <c r="B36" s="10">
        <v>2019</v>
      </c>
      <c r="C36" s="11">
        <v>975</v>
      </c>
      <c r="D36" s="11">
        <v>1020</v>
      </c>
      <c r="E36" s="11">
        <v>970</v>
      </c>
      <c r="F36" s="11">
        <v>995</v>
      </c>
      <c r="G36" s="11">
        <v>803.92</v>
      </c>
      <c r="H36" s="12">
        <v>173591600</v>
      </c>
      <c r="I36" s="22" t="str">
        <f t="shared" si="3"/>
        <v>+</v>
      </c>
      <c r="J36" s="13">
        <f t="shared" si="4"/>
        <v>4.7368421052631584</v>
      </c>
      <c r="K36" s="13">
        <f t="shared" si="5"/>
        <v>21.838673859426741</v>
      </c>
      <c r="L36" s="14" t="str">
        <f t="shared" si="0"/>
        <v>Normal</v>
      </c>
      <c r="M36" s="14" t="str">
        <f t="shared" si="1"/>
        <v>Normal</v>
      </c>
      <c r="N36" s="14" t="str">
        <f t="shared" si="2"/>
        <v>No</v>
      </c>
    </row>
    <row r="37" spans="1:24" x14ac:dyDescent="0.25">
      <c r="A37" s="9">
        <v>43515</v>
      </c>
      <c r="B37" s="10">
        <v>2019</v>
      </c>
      <c r="C37" s="11">
        <v>1000</v>
      </c>
      <c r="D37" s="11">
        <v>1055</v>
      </c>
      <c r="E37" s="11">
        <v>995</v>
      </c>
      <c r="F37" s="11">
        <v>1025</v>
      </c>
      <c r="G37" s="11">
        <v>828.16</v>
      </c>
      <c r="H37" s="12">
        <v>255674400</v>
      </c>
      <c r="I37" s="22" t="str">
        <f t="shared" si="3"/>
        <v>+</v>
      </c>
      <c r="J37" s="13">
        <f t="shared" si="4"/>
        <v>3.0150753768844218</v>
      </c>
      <c r="K37" s="13">
        <f t="shared" si="5"/>
        <v>47.285006878212997</v>
      </c>
      <c r="L37" s="14" t="str">
        <f t="shared" si="0"/>
        <v>Normal</v>
      </c>
      <c r="M37" s="14" t="str">
        <f t="shared" si="1"/>
        <v>Normal</v>
      </c>
      <c r="N37" s="14" t="str">
        <f t="shared" si="2"/>
        <v>No</v>
      </c>
    </row>
    <row r="38" spans="1:24" x14ac:dyDescent="0.25">
      <c r="A38" s="9">
        <v>43516</v>
      </c>
      <c r="B38" s="10">
        <v>2019</v>
      </c>
      <c r="C38" s="11">
        <v>1040</v>
      </c>
      <c r="D38" s="11">
        <v>1090</v>
      </c>
      <c r="E38" s="11">
        <v>1040</v>
      </c>
      <c r="F38" s="11">
        <v>1060</v>
      </c>
      <c r="G38" s="11">
        <v>856.44</v>
      </c>
      <c r="H38" s="12">
        <v>261788400</v>
      </c>
      <c r="I38" s="22" t="str">
        <f t="shared" si="3"/>
        <v>+</v>
      </c>
      <c r="J38" s="13">
        <f t="shared" si="4"/>
        <v>3.4146341463414638</v>
      </c>
      <c r="K38" s="13">
        <f t="shared" si="5"/>
        <v>2.3913227135763298</v>
      </c>
      <c r="L38" s="14" t="str">
        <f t="shared" si="0"/>
        <v>Normal</v>
      </c>
      <c r="M38" s="14" t="str">
        <f t="shared" si="1"/>
        <v>Normal</v>
      </c>
      <c r="N38" s="14" t="str">
        <f t="shared" si="2"/>
        <v>No</v>
      </c>
      <c r="R38" s="2" t="s">
        <v>26</v>
      </c>
    </row>
    <row r="39" spans="1:24" x14ac:dyDescent="0.25">
      <c r="A39" s="9">
        <v>43517</v>
      </c>
      <c r="B39" s="10">
        <v>2019</v>
      </c>
      <c r="C39" s="11">
        <v>1080</v>
      </c>
      <c r="D39" s="11">
        <v>1085</v>
      </c>
      <c r="E39" s="11">
        <v>1030</v>
      </c>
      <c r="F39" s="11">
        <v>1035</v>
      </c>
      <c r="G39" s="11">
        <v>836.24</v>
      </c>
      <c r="H39" s="12">
        <v>158909700</v>
      </c>
      <c r="I39" s="22" t="str">
        <f t="shared" si="3"/>
        <v>-</v>
      </c>
      <c r="J39" s="13">
        <f t="shared" si="4"/>
        <v>-2.358490566037736</v>
      </c>
      <c r="K39" s="13">
        <f t="shared" si="5"/>
        <v>-39.298418111726875</v>
      </c>
      <c r="L39" s="14" t="str">
        <f t="shared" si="0"/>
        <v>Normal</v>
      </c>
      <c r="M39" s="14" t="str">
        <f t="shared" si="1"/>
        <v>Normal</v>
      </c>
      <c r="N39" s="14" t="str">
        <f t="shared" si="2"/>
        <v>No</v>
      </c>
      <c r="R39" s="2" t="s">
        <v>27</v>
      </c>
    </row>
    <row r="40" spans="1:24" x14ac:dyDescent="0.25">
      <c r="A40" s="9">
        <v>43518</v>
      </c>
      <c r="B40" s="10">
        <v>2019</v>
      </c>
      <c r="C40" s="11">
        <v>1035</v>
      </c>
      <c r="D40" s="11">
        <v>1060</v>
      </c>
      <c r="E40" s="11">
        <v>1010</v>
      </c>
      <c r="F40" s="11">
        <v>1055</v>
      </c>
      <c r="G40" s="11">
        <v>852.4</v>
      </c>
      <c r="H40" s="12">
        <v>129281800</v>
      </c>
      <c r="I40" s="22" t="str">
        <f t="shared" si="3"/>
        <v>+</v>
      </c>
      <c r="J40" s="13">
        <f t="shared" si="4"/>
        <v>1.932367149758454</v>
      </c>
      <c r="K40" s="13">
        <f t="shared" si="5"/>
        <v>-18.644488033140835</v>
      </c>
      <c r="L40" s="14" t="str">
        <f t="shared" si="0"/>
        <v>Normal</v>
      </c>
      <c r="M40" s="14" t="str">
        <f t="shared" si="1"/>
        <v>Normal</v>
      </c>
      <c r="N40" s="14" t="str">
        <f t="shared" si="2"/>
        <v>No</v>
      </c>
    </row>
    <row r="41" spans="1:24" x14ac:dyDescent="0.25">
      <c r="A41" s="9">
        <v>43521</v>
      </c>
      <c r="B41" s="10">
        <v>2019</v>
      </c>
      <c r="C41" s="11">
        <v>1065</v>
      </c>
      <c r="D41" s="11">
        <v>1090</v>
      </c>
      <c r="E41" s="11">
        <v>1060</v>
      </c>
      <c r="F41" s="11">
        <v>1085</v>
      </c>
      <c r="G41" s="11">
        <v>876.64</v>
      </c>
      <c r="H41" s="12">
        <v>177237000</v>
      </c>
      <c r="I41" s="22" t="str">
        <f t="shared" si="3"/>
        <v>+</v>
      </c>
      <c r="J41" s="13">
        <f t="shared" si="4"/>
        <v>2.8436018957345972</v>
      </c>
      <c r="K41" s="13">
        <f t="shared" si="5"/>
        <v>37.093542942626108</v>
      </c>
      <c r="L41" s="14" t="str">
        <f t="shared" si="0"/>
        <v>Normal</v>
      </c>
      <c r="M41" s="14" t="str">
        <f t="shared" si="1"/>
        <v>Normal</v>
      </c>
      <c r="N41" s="14" t="str">
        <f t="shared" si="2"/>
        <v>No</v>
      </c>
      <c r="R41" s="2" t="s">
        <v>28</v>
      </c>
    </row>
    <row r="42" spans="1:24" x14ac:dyDescent="0.25">
      <c r="A42" s="9">
        <v>43522</v>
      </c>
      <c r="B42" s="10">
        <v>2019</v>
      </c>
      <c r="C42" s="11">
        <v>1075</v>
      </c>
      <c r="D42" s="11">
        <v>1075</v>
      </c>
      <c r="E42" s="11">
        <v>1035</v>
      </c>
      <c r="F42" s="11">
        <v>1045</v>
      </c>
      <c r="G42" s="11">
        <v>844.32</v>
      </c>
      <c r="H42" s="12">
        <v>148389300</v>
      </c>
      <c r="I42" s="22" t="str">
        <f t="shared" si="3"/>
        <v>-</v>
      </c>
      <c r="J42" s="13">
        <f t="shared" si="4"/>
        <v>-3.6866359447004609</v>
      </c>
      <c r="K42" s="13">
        <f t="shared" si="5"/>
        <v>-16.276341847356928</v>
      </c>
      <c r="L42" s="14" t="str">
        <f t="shared" si="0"/>
        <v>Normal</v>
      </c>
      <c r="M42" s="14" t="str">
        <f t="shared" si="1"/>
        <v>Normal</v>
      </c>
      <c r="N42" s="14" t="str">
        <f t="shared" si="2"/>
        <v>No</v>
      </c>
      <c r="R42" s="2" t="s">
        <v>29</v>
      </c>
    </row>
    <row r="43" spans="1:24" x14ac:dyDescent="0.25">
      <c r="A43" s="9">
        <v>43523</v>
      </c>
      <c r="B43" s="10">
        <v>2019</v>
      </c>
      <c r="C43" s="11">
        <v>1055</v>
      </c>
      <c r="D43" s="11">
        <v>1060</v>
      </c>
      <c r="E43" s="11">
        <v>1030</v>
      </c>
      <c r="F43" s="11">
        <v>1030</v>
      </c>
      <c r="G43" s="11">
        <v>832.2</v>
      </c>
      <c r="H43" s="12">
        <v>61838900</v>
      </c>
      <c r="I43" s="22" t="str">
        <f t="shared" si="3"/>
        <v>-</v>
      </c>
      <c r="J43" s="13">
        <f t="shared" si="4"/>
        <v>-1.4354066985645932</v>
      </c>
      <c r="K43" s="13">
        <f t="shared" si="5"/>
        <v>-58.326577455382569</v>
      </c>
      <c r="L43" s="14" t="str">
        <f t="shared" si="0"/>
        <v>Normal</v>
      </c>
      <c r="M43" s="14" t="str">
        <f t="shared" si="1"/>
        <v>Sharp Volume Decrease</v>
      </c>
      <c r="N43" s="14" t="str">
        <f t="shared" si="2"/>
        <v>No</v>
      </c>
    </row>
    <row r="44" spans="1:24" x14ac:dyDescent="0.25">
      <c r="A44" s="9">
        <v>43524</v>
      </c>
      <c r="B44" s="10">
        <v>2019</v>
      </c>
      <c r="C44" s="11">
        <v>1040</v>
      </c>
      <c r="D44" s="11">
        <v>1045</v>
      </c>
      <c r="E44" s="11">
        <v>980</v>
      </c>
      <c r="F44" s="11">
        <v>1015</v>
      </c>
      <c r="G44" s="11">
        <v>820.08</v>
      </c>
      <c r="H44" s="12">
        <v>192898000</v>
      </c>
      <c r="I44" s="22" t="str">
        <f t="shared" si="3"/>
        <v>-</v>
      </c>
      <c r="J44" s="13">
        <f t="shared" si="4"/>
        <v>-1.4563106796116505</v>
      </c>
      <c r="K44" s="13">
        <f t="shared" si="5"/>
        <v>211.93633780678508</v>
      </c>
      <c r="L44" s="14" t="str">
        <f t="shared" si="0"/>
        <v>Normal</v>
      </c>
      <c r="M44" s="14" t="str">
        <f t="shared" si="1"/>
        <v>Sharp Volume Increase</v>
      </c>
      <c r="N44" s="14" t="str">
        <f t="shared" si="2"/>
        <v>No</v>
      </c>
    </row>
    <row r="45" spans="1:24" x14ac:dyDescent="0.25">
      <c r="A45" s="9">
        <v>43525</v>
      </c>
      <c r="B45" s="10">
        <v>2019</v>
      </c>
      <c r="C45" s="11">
        <v>1000</v>
      </c>
      <c r="D45" s="11">
        <v>1055</v>
      </c>
      <c r="E45" s="11">
        <v>1000</v>
      </c>
      <c r="F45" s="11">
        <v>1055</v>
      </c>
      <c r="G45" s="11">
        <v>852.4</v>
      </c>
      <c r="H45" s="12">
        <v>117661600</v>
      </c>
      <c r="I45" s="22" t="str">
        <f t="shared" si="3"/>
        <v>+</v>
      </c>
      <c r="J45" s="13">
        <f t="shared" si="4"/>
        <v>3.9408866995073892</v>
      </c>
      <c r="K45" s="13">
        <f t="shared" si="5"/>
        <v>-39.003203765720748</v>
      </c>
      <c r="L45" s="14" t="str">
        <f t="shared" si="0"/>
        <v>Normal</v>
      </c>
      <c r="M45" s="14" t="str">
        <f t="shared" si="1"/>
        <v>Normal</v>
      </c>
      <c r="N45" s="14" t="str">
        <f t="shared" si="2"/>
        <v>No</v>
      </c>
    </row>
    <row r="46" spans="1:24" x14ac:dyDescent="0.25">
      <c r="A46" s="9">
        <v>43528</v>
      </c>
      <c r="B46" s="10">
        <v>2019</v>
      </c>
      <c r="C46" s="11">
        <v>1060</v>
      </c>
      <c r="D46" s="11">
        <v>1075</v>
      </c>
      <c r="E46" s="11">
        <v>1045</v>
      </c>
      <c r="F46" s="11">
        <v>1050</v>
      </c>
      <c r="G46" s="11">
        <v>848.36</v>
      </c>
      <c r="H46" s="12">
        <v>100864600</v>
      </c>
      <c r="I46" s="22" t="str">
        <f t="shared" si="3"/>
        <v>-</v>
      </c>
      <c r="J46" s="13">
        <f t="shared" si="4"/>
        <v>-0.47393364928909953</v>
      </c>
      <c r="K46" s="13">
        <f t="shared" si="5"/>
        <v>-14.275685525269077</v>
      </c>
      <c r="L46" s="14" t="str">
        <f t="shared" si="0"/>
        <v>Normal</v>
      </c>
      <c r="M46" s="14" t="str">
        <f t="shared" si="1"/>
        <v>Normal</v>
      </c>
      <c r="N46" s="14" t="str">
        <f t="shared" si="2"/>
        <v>No</v>
      </c>
      <c r="R46" s="2" t="s">
        <v>1</v>
      </c>
      <c r="S46" s="2" t="s">
        <v>30</v>
      </c>
      <c r="T46" s="2" t="s">
        <v>34</v>
      </c>
    </row>
    <row r="47" spans="1:24" x14ac:dyDescent="0.25">
      <c r="A47" s="9">
        <v>43529</v>
      </c>
      <c r="B47" s="10">
        <v>2019</v>
      </c>
      <c r="C47" s="11">
        <v>1040</v>
      </c>
      <c r="D47" s="11">
        <v>1065</v>
      </c>
      <c r="E47" s="11">
        <v>1015</v>
      </c>
      <c r="F47" s="11">
        <v>1035</v>
      </c>
      <c r="G47" s="11">
        <v>836.24</v>
      </c>
      <c r="H47" s="12">
        <v>126418900</v>
      </c>
      <c r="I47" s="22" t="str">
        <f t="shared" si="3"/>
        <v>-</v>
      </c>
      <c r="J47" s="13">
        <f t="shared" si="4"/>
        <v>-1.4285714285714286</v>
      </c>
      <c r="K47" s="13">
        <f t="shared" si="5"/>
        <v>25.335251416255062</v>
      </c>
      <c r="L47" s="14" t="str">
        <f t="shared" si="0"/>
        <v>Normal</v>
      </c>
      <c r="M47" s="14" t="str">
        <f t="shared" si="1"/>
        <v>Normal</v>
      </c>
      <c r="N47" s="14" t="str">
        <f t="shared" si="2"/>
        <v>No</v>
      </c>
      <c r="R47" s="2">
        <v>2019</v>
      </c>
      <c r="S47" s="2" t="s">
        <v>31</v>
      </c>
      <c r="T47" s="2">
        <f>COUNTIFS($B$2:$B$1706,R47,$I$2:$I$1706,S47)</f>
        <v>106</v>
      </c>
    </row>
    <row r="48" spans="1:24" x14ac:dyDescent="0.25">
      <c r="A48" s="9">
        <v>43530</v>
      </c>
      <c r="B48" s="10">
        <v>2019</v>
      </c>
      <c r="C48" s="11">
        <v>1050</v>
      </c>
      <c r="D48" s="11">
        <v>1065</v>
      </c>
      <c r="E48" s="11">
        <v>1040</v>
      </c>
      <c r="F48" s="11">
        <v>1045</v>
      </c>
      <c r="G48" s="11">
        <v>844.32</v>
      </c>
      <c r="H48" s="12">
        <v>87855200</v>
      </c>
      <c r="I48" s="22" t="str">
        <f t="shared" si="3"/>
        <v>+</v>
      </c>
      <c r="J48" s="13">
        <f t="shared" si="4"/>
        <v>0.96618357487922701</v>
      </c>
      <c r="K48" s="13">
        <f t="shared" si="5"/>
        <v>-30.504695104924977</v>
      </c>
      <c r="L48" s="14" t="str">
        <f t="shared" si="0"/>
        <v>Normal</v>
      </c>
      <c r="M48" s="14" t="str">
        <f t="shared" si="1"/>
        <v>Normal</v>
      </c>
      <c r="N48" s="14" t="str">
        <f t="shared" si="2"/>
        <v>No</v>
      </c>
      <c r="R48" s="2">
        <v>2020</v>
      </c>
      <c r="S48" s="2" t="s">
        <v>31</v>
      </c>
      <c r="T48" s="2">
        <f t="shared" ref="T48:T53" si="11">COUNTIFS($B$2:$B$1706,R48,$I$2:$I$1706,S48)</f>
        <v>109</v>
      </c>
    </row>
    <row r="49" spans="1:20" x14ac:dyDescent="0.25">
      <c r="A49" s="9">
        <v>43531</v>
      </c>
      <c r="B49" s="10">
        <v>2019</v>
      </c>
      <c r="C49" s="11">
        <v>1045</v>
      </c>
      <c r="D49" s="11">
        <v>1045</v>
      </c>
      <c r="E49" s="11">
        <v>1045</v>
      </c>
      <c r="F49" s="11">
        <v>1045</v>
      </c>
      <c r="G49" s="11">
        <v>844.32</v>
      </c>
      <c r="H49" s="12"/>
      <c r="I49" s="22" t="str">
        <f t="shared" si="3"/>
        <v>0</v>
      </c>
      <c r="J49" s="13">
        <f t="shared" si="4"/>
        <v>0</v>
      </c>
      <c r="K49" s="13">
        <f t="shared" si="5"/>
        <v>-100</v>
      </c>
      <c r="L49" s="14" t="str">
        <f t="shared" si="0"/>
        <v>Normal</v>
      </c>
      <c r="M49" s="14" t="str">
        <f t="shared" si="1"/>
        <v>Sharp Volume Decrease</v>
      </c>
      <c r="N49" s="14" t="str">
        <f t="shared" si="2"/>
        <v>No</v>
      </c>
      <c r="R49" s="2">
        <v>2021</v>
      </c>
      <c r="S49" s="2" t="s">
        <v>31</v>
      </c>
      <c r="T49" s="2">
        <f t="shared" si="11"/>
        <v>102</v>
      </c>
    </row>
    <row r="50" spans="1:20" x14ac:dyDescent="0.25">
      <c r="A50" s="9">
        <v>43532</v>
      </c>
      <c r="B50" s="10">
        <v>2019</v>
      </c>
      <c r="C50" s="11">
        <v>1010</v>
      </c>
      <c r="D50" s="11">
        <v>1015</v>
      </c>
      <c r="E50" s="11">
        <v>990</v>
      </c>
      <c r="F50" s="11">
        <v>990</v>
      </c>
      <c r="G50" s="11">
        <v>799.88</v>
      </c>
      <c r="H50" s="12">
        <v>137044900</v>
      </c>
      <c r="I50" s="22" t="str">
        <f t="shared" si="3"/>
        <v>-</v>
      </c>
      <c r="J50" s="13">
        <f t="shared" si="4"/>
        <v>-5.2631578947368416</v>
      </c>
      <c r="K50" s="13" t="e">
        <f t="shared" si="5"/>
        <v>#DIV/0!</v>
      </c>
      <c r="L50" s="14" t="str">
        <f t="shared" si="0"/>
        <v>Sharp Price Decrease</v>
      </c>
      <c r="M50" s="14" t="str">
        <f t="shared" si="1"/>
        <v>Normal</v>
      </c>
      <c r="N50" s="14" t="str">
        <f t="shared" si="2"/>
        <v>No</v>
      </c>
      <c r="R50" s="2">
        <v>2022</v>
      </c>
      <c r="S50" s="2" t="s">
        <v>31</v>
      </c>
      <c r="T50" s="2">
        <f t="shared" si="11"/>
        <v>97</v>
      </c>
    </row>
    <row r="51" spans="1:20" x14ac:dyDescent="0.25">
      <c r="A51" s="9">
        <v>43535</v>
      </c>
      <c r="B51" s="10">
        <v>2019</v>
      </c>
      <c r="C51" s="11">
        <v>1010</v>
      </c>
      <c r="D51" s="11">
        <v>1025</v>
      </c>
      <c r="E51" s="11">
        <v>990</v>
      </c>
      <c r="F51" s="11">
        <v>995</v>
      </c>
      <c r="G51" s="11">
        <v>803.92</v>
      </c>
      <c r="H51" s="12">
        <v>133205500</v>
      </c>
      <c r="I51" s="22" t="str">
        <f t="shared" si="3"/>
        <v>+</v>
      </c>
      <c r="J51" s="13">
        <f t="shared" si="4"/>
        <v>0.50505050505050508</v>
      </c>
      <c r="K51" s="13">
        <f t="shared" si="5"/>
        <v>-2.8015635751494581</v>
      </c>
      <c r="L51" s="14" t="str">
        <f t="shared" si="0"/>
        <v>Normal</v>
      </c>
      <c r="M51" s="14" t="str">
        <f t="shared" si="1"/>
        <v>Normal</v>
      </c>
      <c r="N51" s="14" t="str">
        <f t="shared" si="2"/>
        <v>No</v>
      </c>
      <c r="R51" s="2">
        <v>2023</v>
      </c>
      <c r="S51" s="2" t="s">
        <v>31</v>
      </c>
      <c r="T51" s="2">
        <f t="shared" si="11"/>
        <v>94</v>
      </c>
    </row>
    <row r="52" spans="1:20" x14ac:dyDescent="0.25">
      <c r="A52" s="9">
        <v>43536</v>
      </c>
      <c r="B52" s="10">
        <v>2019</v>
      </c>
      <c r="C52" s="11">
        <v>1010</v>
      </c>
      <c r="D52" s="11">
        <v>1015</v>
      </c>
      <c r="E52" s="11">
        <v>955</v>
      </c>
      <c r="F52" s="11">
        <v>970</v>
      </c>
      <c r="G52" s="11">
        <v>783.72</v>
      </c>
      <c r="H52" s="12">
        <v>144227600</v>
      </c>
      <c r="I52" s="22" t="str">
        <f t="shared" si="3"/>
        <v>-</v>
      </c>
      <c r="J52" s="13">
        <f t="shared" si="4"/>
        <v>-2.512562814070352</v>
      </c>
      <c r="K52" s="13">
        <f t="shared" si="5"/>
        <v>8.2745081847221034</v>
      </c>
      <c r="L52" s="14" t="str">
        <f t="shared" si="0"/>
        <v>Normal</v>
      </c>
      <c r="M52" s="14" t="str">
        <f t="shared" si="1"/>
        <v>Normal</v>
      </c>
      <c r="N52" s="14" t="str">
        <f t="shared" si="2"/>
        <v>No</v>
      </c>
      <c r="R52" s="2">
        <v>2024</v>
      </c>
      <c r="S52" s="2" t="s">
        <v>31</v>
      </c>
      <c r="T52" s="2">
        <f t="shared" si="11"/>
        <v>103</v>
      </c>
    </row>
    <row r="53" spans="1:20" x14ac:dyDescent="0.25">
      <c r="A53" s="9">
        <v>43537</v>
      </c>
      <c r="B53" s="10">
        <v>2019</v>
      </c>
      <c r="C53" s="11">
        <v>975</v>
      </c>
      <c r="D53" s="11">
        <v>990</v>
      </c>
      <c r="E53" s="11">
        <v>960</v>
      </c>
      <c r="F53" s="11">
        <v>965</v>
      </c>
      <c r="G53" s="11">
        <v>779.68</v>
      </c>
      <c r="H53" s="12">
        <v>98820400</v>
      </c>
      <c r="I53" s="22" t="str">
        <f t="shared" si="3"/>
        <v>-</v>
      </c>
      <c r="J53" s="13">
        <f t="shared" si="4"/>
        <v>-0.51546391752577314</v>
      </c>
      <c r="K53" s="13">
        <f t="shared" si="5"/>
        <v>-31.483017120162852</v>
      </c>
      <c r="L53" s="14" t="str">
        <f t="shared" si="0"/>
        <v>Normal</v>
      </c>
      <c r="M53" s="14" t="str">
        <f t="shared" si="1"/>
        <v>Normal</v>
      </c>
      <c r="N53" s="14" t="str">
        <f t="shared" si="2"/>
        <v>No</v>
      </c>
      <c r="R53" s="2">
        <v>2025</v>
      </c>
      <c r="S53" s="2" t="s">
        <v>31</v>
      </c>
      <c r="T53" s="2">
        <f>COUNTIFS($B$2:$B$1706,R53,$I$2:$I$1706,S53)</f>
        <v>124</v>
      </c>
    </row>
    <row r="54" spans="1:20" x14ac:dyDescent="0.25">
      <c r="A54" s="9">
        <v>43538</v>
      </c>
      <c r="B54" s="10">
        <v>2019</v>
      </c>
      <c r="C54" s="11">
        <v>975</v>
      </c>
      <c r="D54" s="11">
        <v>975</v>
      </c>
      <c r="E54" s="11">
        <v>960</v>
      </c>
      <c r="F54" s="11">
        <v>965</v>
      </c>
      <c r="G54" s="11">
        <v>779.68</v>
      </c>
      <c r="H54" s="12">
        <v>65563000</v>
      </c>
      <c r="I54" s="22" t="str">
        <f t="shared" si="3"/>
        <v>0</v>
      </c>
      <c r="J54" s="13">
        <f t="shared" si="4"/>
        <v>0</v>
      </c>
      <c r="K54" s="13">
        <f t="shared" si="5"/>
        <v>-33.654387150831205</v>
      </c>
      <c r="L54" s="14" t="str">
        <f t="shared" si="0"/>
        <v>Normal</v>
      </c>
      <c r="M54" s="14" t="str">
        <f t="shared" si="1"/>
        <v>Normal</v>
      </c>
      <c r="N54" s="14" t="str">
        <f t="shared" si="2"/>
        <v>No</v>
      </c>
      <c r="R54" s="2">
        <v>2019</v>
      </c>
      <c r="S54" s="2" t="s">
        <v>32</v>
      </c>
      <c r="T54" s="2">
        <f>COUNTIFS($B$2:$B$1706,R54,$I$2:$I$1706,S54)</f>
        <v>123</v>
      </c>
    </row>
    <row r="55" spans="1:20" x14ac:dyDescent="0.25">
      <c r="A55" s="9">
        <v>43539</v>
      </c>
      <c r="B55" s="10">
        <v>2019</v>
      </c>
      <c r="C55" s="11">
        <v>965</v>
      </c>
      <c r="D55" s="11">
        <v>990</v>
      </c>
      <c r="E55" s="11">
        <v>950</v>
      </c>
      <c r="F55" s="11">
        <v>975</v>
      </c>
      <c r="G55" s="11">
        <v>787.76</v>
      </c>
      <c r="H55" s="12">
        <v>72567000</v>
      </c>
      <c r="I55" s="22" t="str">
        <f t="shared" si="3"/>
        <v>+</v>
      </c>
      <c r="J55" s="13">
        <f t="shared" si="4"/>
        <v>1.0362694300518136</v>
      </c>
      <c r="K55" s="13">
        <f t="shared" si="5"/>
        <v>10.682854658877721</v>
      </c>
      <c r="L55" s="14" t="str">
        <f t="shared" si="0"/>
        <v>Normal</v>
      </c>
      <c r="M55" s="14" t="str">
        <f t="shared" si="1"/>
        <v>Normal</v>
      </c>
      <c r="N55" s="14" t="str">
        <f t="shared" si="2"/>
        <v>No</v>
      </c>
      <c r="R55" s="2">
        <v>2020</v>
      </c>
      <c r="S55" s="2" t="s">
        <v>32</v>
      </c>
      <c r="T55" s="2">
        <f t="shared" ref="T55:T60" si="12">COUNTIFS($B$2:$B$1706,R55,$I$2:$I$1706,S55)</f>
        <v>111</v>
      </c>
    </row>
    <row r="56" spans="1:20" x14ac:dyDescent="0.25">
      <c r="A56" s="9">
        <v>43542</v>
      </c>
      <c r="B56" s="10">
        <v>2019</v>
      </c>
      <c r="C56" s="11">
        <v>980</v>
      </c>
      <c r="D56" s="11">
        <v>985</v>
      </c>
      <c r="E56" s="11">
        <v>945</v>
      </c>
      <c r="F56" s="11">
        <v>955</v>
      </c>
      <c r="G56" s="11">
        <v>771.6</v>
      </c>
      <c r="H56" s="12">
        <v>95086600</v>
      </c>
      <c r="I56" s="22" t="str">
        <f t="shared" si="3"/>
        <v>-</v>
      </c>
      <c r="J56" s="13">
        <f t="shared" si="4"/>
        <v>-2.0512820512820511</v>
      </c>
      <c r="K56" s="13">
        <f t="shared" si="5"/>
        <v>31.032838618104648</v>
      </c>
      <c r="L56" s="14" t="str">
        <f t="shared" si="0"/>
        <v>Normal</v>
      </c>
      <c r="M56" s="14" t="str">
        <f t="shared" si="1"/>
        <v>Normal</v>
      </c>
      <c r="N56" s="14" t="str">
        <f t="shared" si="2"/>
        <v>No</v>
      </c>
      <c r="R56" s="2">
        <v>2021</v>
      </c>
      <c r="S56" s="2" t="s">
        <v>32</v>
      </c>
      <c r="T56" s="2">
        <f t="shared" si="12"/>
        <v>130</v>
      </c>
    </row>
    <row r="57" spans="1:20" x14ac:dyDescent="0.25">
      <c r="A57" s="9">
        <v>43543</v>
      </c>
      <c r="B57" s="10">
        <v>2019</v>
      </c>
      <c r="C57" s="11">
        <v>960</v>
      </c>
      <c r="D57" s="11">
        <v>975</v>
      </c>
      <c r="E57" s="11">
        <v>955</v>
      </c>
      <c r="F57" s="11">
        <v>960</v>
      </c>
      <c r="G57" s="11">
        <v>775.64</v>
      </c>
      <c r="H57" s="12">
        <v>69781500</v>
      </c>
      <c r="I57" s="22" t="str">
        <f t="shared" si="3"/>
        <v>+</v>
      </c>
      <c r="J57" s="13">
        <f t="shared" si="4"/>
        <v>0.52356020942408377</v>
      </c>
      <c r="K57" s="13">
        <f t="shared" si="5"/>
        <v>-26.612687802487418</v>
      </c>
      <c r="L57" s="14" t="str">
        <f t="shared" si="0"/>
        <v>Normal</v>
      </c>
      <c r="M57" s="14" t="str">
        <f t="shared" si="1"/>
        <v>Normal</v>
      </c>
      <c r="N57" s="14" t="str">
        <f t="shared" si="2"/>
        <v>No</v>
      </c>
      <c r="R57" s="2">
        <v>2022</v>
      </c>
      <c r="S57" s="2" t="s">
        <v>32</v>
      </c>
      <c r="T57" s="2">
        <f t="shared" si="12"/>
        <v>131</v>
      </c>
    </row>
    <row r="58" spans="1:20" x14ac:dyDescent="0.25">
      <c r="A58" s="9">
        <v>43544</v>
      </c>
      <c r="B58" s="10">
        <v>2019</v>
      </c>
      <c r="C58" s="11">
        <v>960</v>
      </c>
      <c r="D58" s="11">
        <v>980</v>
      </c>
      <c r="E58" s="11">
        <v>960</v>
      </c>
      <c r="F58" s="11">
        <v>960</v>
      </c>
      <c r="G58" s="11">
        <v>775.64</v>
      </c>
      <c r="H58" s="12">
        <v>55325000</v>
      </c>
      <c r="I58" s="22" t="str">
        <f t="shared" si="3"/>
        <v>0</v>
      </c>
      <c r="J58" s="13">
        <f t="shared" si="4"/>
        <v>0</v>
      </c>
      <c r="K58" s="13">
        <f t="shared" si="5"/>
        <v>-20.716808896340723</v>
      </c>
      <c r="L58" s="14" t="str">
        <f t="shared" si="0"/>
        <v>Normal</v>
      </c>
      <c r="M58" s="14" t="str">
        <f t="shared" si="1"/>
        <v>Normal</v>
      </c>
      <c r="N58" s="14" t="str">
        <f t="shared" si="2"/>
        <v>No</v>
      </c>
      <c r="R58" s="2">
        <v>2023</v>
      </c>
      <c r="S58" s="2" t="s">
        <v>32</v>
      </c>
      <c r="T58" s="2">
        <f t="shared" si="12"/>
        <v>115</v>
      </c>
    </row>
    <row r="59" spans="1:20" x14ac:dyDescent="0.25">
      <c r="A59" s="9">
        <v>43545</v>
      </c>
      <c r="B59" s="10">
        <v>2019</v>
      </c>
      <c r="C59" s="11">
        <v>970</v>
      </c>
      <c r="D59" s="11">
        <v>980</v>
      </c>
      <c r="E59" s="11">
        <v>960</v>
      </c>
      <c r="F59" s="11">
        <v>965</v>
      </c>
      <c r="G59" s="11">
        <v>779.68</v>
      </c>
      <c r="H59" s="12">
        <v>42876300</v>
      </c>
      <c r="I59" s="22" t="str">
        <f t="shared" si="3"/>
        <v>+</v>
      </c>
      <c r="J59" s="13">
        <f t="shared" si="4"/>
        <v>0.52083333333333326</v>
      </c>
      <c r="K59" s="13">
        <f t="shared" si="5"/>
        <v>-22.501039313149569</v>
      </c>
      <c r="L59" s="14" t="str">
        <f t="shared" si="0"/>
        <v>Normal</v>
      </c>
      <c r="M59" s="14" t="str">
        <f t="shared" si="1"/>
        <v>Normal</v>
      </c>
      <c r="N59" s="14" t="str">
        <f t="shared" si="2"/>
        <v>No</v>
      </c>
      <c r="R59" s="2">
        <v>2024</v>
      </c>
      <c r="S59" s="2" t="s">
        <v>32</v>
      </c>
      <c r="T59" s="2">
        <f t="shared" si="12"/>
        <v>116</v>
      </c>
    </row>
    <row r="60" spans="1:20" x14ac:dyDescent="0.25">
      <c r="A60" s="9">
        <v>43546</v>
      </c>
      <c r="B60" s="10">
        <v>2019</v>
      </c>
      <c r="C60" s="11">
        <v>960</v>
      </c>
      <c r="D60" s="11">
        <v>965</v>
      </c>
      <c r="E60" s="11">
        <v>950</v>
      </c>
      <c r="F60" s="11">
        <v>960</v>
      </c>
      <c r="G60" s="11">
        <v>775.64</v>
      </c>
      <c r="H60" s="12">
        <v>38781500</v>
      </c>
      <c r="I60" s="22" t="str">
        <f t="shared" si="3"/>
        <v>-</v>
      </c>
      <c r="J60" s="13">
        <f t="shared" si="4"/>
        <v>-0.5181347150259068</v>
      </c>
      <c r="K60" s="13">
        <f t="shared" si="5"/>
        <v>-9.5502643651621053</v>
      </c>
      <c r="L60" s="14" t="str">
        <f t="shared" si="0"/>
        <v>Normal</v>
      </c>
      <c r="M60" s="14" t="str">
        <f t="shared" si="1"/>
        <v>Normal</v>
      </c>
      <c r="N60" s="14" t="str">
        <f t="shared" si="2"/>
        <v>No</v>
      </c>
      <c r="R60" s="2">
        <v>2025</v>
      </c>
      <c r="S60" s="2" t="s">
        <v>32</v>
      </c>
      <c r="T60" s="2">
        <f t="shared" si="12"/>
        <v>102</v>
      </c>
    </row>
    <row r="61" spans="1:20" x14ac:dyDescent="0.25">
      <c r="A61" s="9">
        <v>43549</v>
      </c>
      <c r="B61" s="10">
        <v>2019</v>
      </c>
      <c r="C61" s="11">
        <v>940</v>
      </c>
      <c r="D61" s="11">
        <v>945</v>
      </c>
      <c r="E61" s="11">
        <v>910</v>
      </c>
      <c r="F61" s="11">
        <v>920</v>
      </c>
      <c r="G61" s="11">
        <v>743.33</v>
      </c>
      <c r="H61" s="12">
        <v>105587900</v>
      </c>
      <c r="I61" s="22" t="str">
        <f t="shared" si="3"/>
        <v>-</v>
      </c>
      <c r="J61" s="13">
        <f t="shared" si="4"/>
        <v>-4.1666666666666661</v>
      </c>
      <c r="K61" s="13">
        <f t="shared" si="5"/>
        <v>172.26357928393691</v>
      </c>
      <c r="L61" s="14" t="str">
        <f t="shared" si="0"/>
        <v>Normal</v>
      </c>
      <c r="M61" s="14" t="str">
        <f t="shared" si="1"/>
        <v>Sharp Volume Increase</v>
      </c>
      <c r="N61" s="14" t="str">
        <f t="shared" si="2"/>
        <v>No</v>
      </c>
      <c r="R61" s="2">
        <v>2019</v>
      </c>
      <c r="S61" s="24" t="s">
        <v>33</v>
      </c>
      <c r="T61" s="2">
        <f>COUNTIFS($B$2:$B$1706,R61,$I$2:$I$1706,S61)</f>
        <v>28</v>
      </c>
    </row>
    <row r="62" spans="1:20" x14ac:dyDescent="0.25">
      <c r="A62" s="9">
        <v>43550</v>
      </c>
      <c r="B62" s="10">
        <v>2019</v>
      </c>
      <c r="C62" s="11">
        <v>925</v>
      </c>
      <c r="D62" s="11">
        <v>940</v>
      </c>
      <c r="E62" s="11">
        <v>910</v>
      </c>
      <c r="F62" s="11">
        <v>915</v>
      </c>
      <c r="G62" s="11">
        <v>739.29</v>
      </c>
      <c r="H62" s="12">
        <v>63741400</v>
      </c>
      <c r="I62" s="22" t="str">
        <f t="shared" si="3"/>
        <v>-</v>
      </c>
      <c r="J62" s="13">
        <f t="shared" si="4"/>
        <v>-0.54347826086956519</v>
      </c>
      <c r="K62" s="13">
        <f t="shared" si="5"/>
        <v>-39.631908580433937</v>
      </c>
      <c r="L62" s="14" t="str">
        <f t="shared" si="0"/>
        <v>Normal</v>
      </c>
      <c r="M62" s="14" t="str">
        <f t="shared" si="1"/>
        <v>Normal</v>
      </c>
      <c r="N62" s="14" t="str">
        <f t="shared" si="2"/>
        <v>No</v>
      </c>
      <c r="R62" s="2">
        <v>2020</v>
      </c>
      <c r="S62" s="24" t="s">
        <v>33</v>
      </c>
      <c r="T62" s="2">
        <f t="shared" ref="T62:T67" si="13">COUNTIFS($B$2:$B$1706,R62,$I$2:$I$1706,S62)</f>
        <v>22</v>
      </c>
    </row>
    <row r="63" spans="1:20" x14ac:dyDescent="0.25">
      <c r="A63" s="9">
        <v>43551</v>
      </c>
      <c r="B63" s="10">
        <v>2019</v>
      </c>
      <c r="C63" s="11">
        <v>925</v>
      </c>
      <c r="D63" s="11">
        <v>925</v>
      </c>
      <c r="E63" s="11">
        <v>890</v>
      </c>
      <c r="F63" s="11">
        <v>900</v>
      </c>
      <c r="G63" s="11">
        <v>727.17</v>
      </c>
      <c r="H63" s="12">
        <v>59113200</v>
      </c>
      <c r="I63" s="22" t="str">
        <f t="shared" si="3"/>
        <v>-</v>
      </c>
      <c r="J63" s="13">
        <f t="shared" si="4"/>
        <v>-1.639344262295082</v>
      </c>
      <c r="K63" s="13">
        <f t="shared" si="5"/>
        <v>-7.2609010784199901</v>
      </c>
      <c r="L63" s="14" t="str">
        <f t="shared" si="0"/>
        <v>Normal</v>
      </c>
      <c r="M63" s="14" t="str">
        <f t="shared" si="1"/>
        <v>Normal</v>
      </c>
      <c r="N63" s="14" t="str">
        <f t="shared" si="2"/>
        <v>No</v>
      </c>
      <c r="R63" s="2">
        <v>2021</v>
      </c>
      <c r="S63" s="24" t="s">
        <v>33</v>
      </c>
      <c r="T63" s="2">
        <f t="shared" si="13"/>
        <v>15</v>
      </c>
    </row>
    <row r="64" spans="1:20" x14ac:dyDescent="0.25">
      <c r="A64" s="9">
        <v>43552</v>
      </c>
      <c r="B64" s="10">
        <v>2019</v>
      </c>
      <c r="C64" s="11">
        <v>895</v>
      </c>
      <c r="D64" s="11">
        <v>915</v>
      </c>
      <c r="E64" s="11">
        <v>870</v>
      </c>
      <c r="F64" s="11">
        <v>880</v>
      </c>
      <c r="G64" s="11">
        <v>711.01</v>
      </c>
      <c r="H64" s="12">
        <v>101873800</v>
      </c>
      <c r="I64" s="22" t="str">
        <f t="shared" si="3"/>
        <v>-</v>
      </c>
      <c r="J64" s="13">
        <f t="shared" si="4"/>
        <v>-2.2222222222222223</v>
      </c>
      <c r="K64" s="13">
        <f t="shared" si="5"/>
        <v>72.336804639234558</v>
      </c>
      <c r="L64" s="14" t="str">
        <f t="shared" si="0"/>
        <v>Normal</v>
      </c>
      <c r="M64" s="14" t="str">
        <f t="shared" si="1"/>
        <v>Normal</v>
      </c>
      <c r="N64" s="14" t="str">
        <f t="shared" si="2"/>
        <v>No</v>
      </c>
      <c r="R64" s="2">
        <v>2022</v>
      </c>
      <c r="S64" s="24" t="s">
        <v>33</v>
      </c>
      <c r="T64" s="2">
        <f t="shared" si="13"/>
        <v>18</v>
      </c>
    </row>
    <row r="65" spans="1:20" x14ac:dyDescent="0.25">
      <c r="A65" s="9">
        <v>43553</v>
      </c>
      <c r="B65" s="10">
        <v>2019</v>
      </c>
      <c r="C65" s="11">
        <v>880</v>
      </c>
      <c r="D65" s="11">
        <v>895</v>
      </c>
      <c r="E65" s="11">
        <v>870</v>
      </c>
      <c r="F65" s="11">
        <v>885</v>
      </c>
      <c r="G65" s="11">
        <v>715.05</v>
      </c>
      <c r="H65" s="12">
        <v>73446700</v>
      </c>
      <c r="I65" s="22" t="str">
        <f t="shared" si="3"/>
        <v>+</v>
      </c>
      <c r="J65" s="13">
        <f t="shared" si="4"/>
        <v>0.56818181818181823</v>
      </c>
      <c r="K65" s="13">
        <f t="shared" si="5"/>
        <v>-27.904230528359598</v>
      </c>
      <c r="L65" s="14" t="str">
        <f t="shared" si="0"/>
        <v>Normal</v>
      </c>
      <c r="M65" s="14" t="str">
        <f t="shared" si="1"/>
        <v>Normal</v>
      </c>
      <c r="N65" s="14" t="str">
        <f t="shared" si="2"/>
        <v>No</v>
      </c>
      <c r="R65" s="2">
        <v>2023</v>
      </c>
      <c r="S65" s="24" t="s">
        <v>33</v>
      </c>
      <c r="T65" s="2">
        <f t="shared" si="13"/>
        <v>30</v>
      </c>
    </row>
    <row r="66" spans="1:20" x14ac:dyDescent="0.25">
      <c r="A66" s="9">
        <v>43556</v>
      </c>
      <c r="B66" s="10">
        <v>2019</v>
      </c>
      <c r="C66" s="11">
        <v>900</v>
      </c>
      <c r="D66" s="11">
        <v>945</v>
      </c>
      <c r="E66" s="11">
        <v>900</v>
      </c>
      <c r="F66" s="11">
        <v>940</v>
      </c>
      <c r="G66" s="11">
        <v>759.49</v>
      </c>
      <c r="H66" s="12">
        <v>132618300</v>
      </c>
      <c r="I66" s="22" t="str">
        <f t="shared" si="3"/>
        <v>+</v>
      </c>
      <c r="J66" s="13">
        <f t="shared" si="4"/>
        <v>6.2146892655367232</v>
      </c>
      <c r="K66" s="13">
        <f t="shared" si="5"/>
        <v>80.56400083325731</v>
      </c>
      <c r="L66" s="14" t="str">
        <f t="shared" si="0"/>
        <v>Sharp Price Increase</v>
      </c>
      <c r="M66" s="14" t="str">
        <f t="shared" si="1"/>
        <v>Normal</v>
      </c>
      <c r="N66" s="14" t="str">
        <f t="shared" si="2"/>
        <v>No</v>
      </c>
      <c r="R66" s="2">
        <v>2024</v>
      </c>
      <c r="S66" s="24" t="s">
        <v>33</v>
      </c>
      <c r="T66" s="2">
        <f t="shared" si="13"/>
        <v>18</v>
      </c>
    </row>
    <row r="67" spans="1:20" x14ac:dyDescent="0.25">
      <c r="A67" s="9">
        <v>43557</v>
      </c>
      <c r="B67" s="10">
        <v>2019</v>
      </c>
      <c r="C67" s="11">
        <v>940</v>
      </c>
      <c r="D67" s="11">
        <v>950</v>
      </c>
      <c r="E67" s="11">
        <v>920</v>
      </c>
      <c r="F67" s="11">
        <v>920</v>
      </c>
      <c r="G67" s="11">
        <v>743.33</v>
      </c>
      <c r="H67" s="12">
        <v>102133500</v>
      </c>
      <c r="I67" s="22" t="str">
        <f t="shared" si="3"/>
        <v>-</v>
      </c>
      <c r="J67" s="13">
        <f t="shared" si="4"/>
        <v>-2.1276595744680851</v>
      </c>
      <c r="K67" s="13">
        <f t="shared" si="5"/>
        <v>-22.986872852389151</v>
      </c>
      <c r="L67" s="14" t="str">
        <f t="shared" ref="L67:L130" si="14">IFERROR(IF(OR(J67="",ISBLANK(J67)),"Normal",IF(J67&lt;=$U$6,"Sharp Price Decrease",IF(J67&gt;=$U$7,"Sharp Price Increase","Normal"))),"Normal")</f>
        <v>Normal</v>
      </c>
      <c r="M67" s="14" t="str">
        <f t="shared" ref="M67:M130" si="15">IFERROR(IF(OR(K67="",ISBLANK(K67)),"Normal",IF(K67&lt;=$U$8,"Sharp Volume Decrease",IF(K67&gt;=$U$9,"Sharp Volume Increase","Normal"))),"Normal")</f>
        <v>Normal</v>
      </c>
      <c r="N67" s="14" t="str">
        <f t="shared" ref="N67:N130" si="16">IFERROR(IF(AND(OR(L67="Sharp Price Increase",L67="Sharp Price Decrease"),OR(M67="Sharp Volume Increase",M67="Sharp Volume Decrease")),"Yes","No"),"No")</f>
        <v>No</v>
      </c>
      <c r="R67" s="2">
        <v>2025</v>
      </c>
      <c r="S67" s="24" t="s">
        <v>33</v>
      </c>
      <c r="T67" s="2">
        <f t="shared" si="13"/>
        <v>10</v>
      </c>
    </row>
    <row r="68" spans="1:20" x14ac:dyDescent="0.25">
      <c r="A68" s="9">
        <v>43558</v>
      </c>
      <c r="B68" s="10">
        <v>2019</v>
      </c>
      <c r="C68" s="11">
        <v>920</v>
      </c>
      <c r="D68" s="11">
        <v>920</v>
      </c>
      <c r="E68" s="11">
        <v>920</v>
      </c>
      <c r="F68" s="11">
        <v>920</v>
      </c>
      <c r="G68" s="11">
        <v>743.33</v>
      </c>
      <c r="H68" s="12"/>
      <c r="I68" s="22" t="str">
        <f t="shared" ref="I68:I131" si="17">IFERROR(IF(OR(F67="",F68=""),"",IF(F68-F67&lt;0,"-",IF(F68-F67&gt;0,"+","0"))),"")</f>
        <v>0</v>
      </c>
      <c r="J68" s="13">
        <f t="shared" ref="J68:J131" si="18">(F68-F67)/F67*100</f>
        <v>0</v>
      </c>
      <c r="K68" s="13">
        <f t="shared" ref="K68:K131" si="19">(H68-H67)/H67*100</f>
        <v>-100</v>
      </c>
      <c r="L68" s="14" t="str">
        <f t="shared" si="14"/>
        <v>Normal</v>
      </c>
      <c r="M68" s="14" t="str">
        <f t="shared" si="15"/>
        <v>Sharp Volume Decrease</v>
      </c>
      <c r="N68" s="14" t="str">
        <f t="shared" si="16"/>
        <v>No</v>
      </c>
    </row>
    <row r="69" spans="1:20" x14ac:dyDescent="0.25">
      <c r="A69" s="9">
        <v>43559</v>
      </c>
      <c r="B69" s="10">
        <v>2019</v>
      </c>
      <c r="C69" s="11">
        <v>935</v>
      </c>
      <c r="D69" s="11">
        <v>945</v>
      </c>
      <c r="E69" s="11">
        <v>910</v>
      </c>
      <c r="F69" s="11">
        <v>915</v>
      </c>
      <c r="G69" s="11">
        <v>739.29</v>
      </c>
      <c r="H69" s="12">
        <v>49497700</v>
      </c>
      <c r="I69" s="22" t="str">
        <f t="shared" si="17"/>
        <v>-</v>
      </c>
      <c r="J69" s="13">
        <f t="shared" si="18"/>
        <v>-0.54347826086956519</v>
      </c>
      <c r="K69" s="13" t="e">
        <f t="shared" si="19"/>
        <v>#DIV/0!</v>
      </c>
      <c r="L69" s="14" t="str">
        <f t="shared" si="14"/>
        <v>Normal</v>
      </c>
      <c r="M69" s="14" t="str">
        <f t="shared" si="15"/>
        <v>Normal</v>
      </c>
      <c r="N69" s="14" t="str">
        <f t="shared" si="16"/>
        <v>No</v>
      </c>
    </row>
    <row r="70" spans="1:20" x14ac:dyDescent="0.25">
      <c r="A70" s="9">
        <v>43560</v>
      </c>
      <c r="B70" s="10">
        <v>2019</v>
      </c>
      <c r="C70" s="11">
        <v>910</v>
      </c>
      <c r="D70" s="11">
        <v>925</v>
      </c>
      <c r="E70" s="11">
        <v>900</v>
      </c>
      <c r="F70" s="11">
        <v>905</v>
      </c>
      <c r="G70" s="11">
        <v>731.21</v>
      </c>
      <c r="H70" s="12">
        <v>33851900</v>
      </c>
      <c r="I70" s="22" t="str">
        <f t="shared" si="17"/>
        <v>-</v>
      </c>
      <c r="J70" s="13">
        <f t="shared" si="18"/>
        <v>-1.0928961748633881</v>
      </c>
      <c r="K70" s="13">
        <f t="shared" si="19"/>
        <v>-31.609145475446333</v>
      </c>
      <c r="L70" s="14" t="str">
        <f t="shared" si="14"/>
        <v>Normal</v>
      </c>
      <c r="M70" s="14" t="str">
        <f t="shared" si="15"/>
        <v>Normal</v>
      </c>
      <c r="N70" s="14" t="str">
        <f t="shared" si="16"/>
        <v>No</v>
      </c>
    </row>
    <row r="71" spans="1:20" x14ac:dyDescent="0.25">
      <c r="A71" s="9">
        <v>43563</v>
      </c>
      <c r="B71" s="10">
        <v>2019</v>
      </c>
      <c r="C71" s="11">
        <v>905</v>
      </c>
      <c r="D71" s="11">
        <v>910</v>
      </c>
      <c r="E71" s="11">
        <v>880</v>
      </c>
      <c r="F71" s="11">
        <v>885</v>
      </c>
      <c r="G71" s="11">
        <v>715.05</v>
      </c>
      <c r="H71" s="12">
        <v>70696700</v>
      </c>
      <c r="I71" s="22" t="str">
        <f t="shared" si="17"/>
        <v>-</v>
      </c>
      <c r="J71" s="13">
        <f t="shared" si="18"/>
        <v>-2.2099447513812152</v>
      </c>
      <c r="K71" s="13">
        <f t="shared" si="19"/>
        <v>108.84115810338564</v>
      </c>
      <c r="L71" s="14" t="str">
        <f t="shared" si="14"/>
        <v>Normal</v>
      </c>
      <c r="M71" s="14" t="str">
        <f t="shared" si="15"/>
        <v>Normal</v>
      </c>
      <c r="N71" s="14" t="str">
        <f t="shared" si="16"/>
        <v>No</v>
      </c>
    </row>
    <row r="72" spans="1:20" x14ac:dyDescent="0.25">
      <c r="A72" s="9">
        <v>43564</v>
      </c>
      <c r="B72" s="10">
        <v>2019</v>
      </c>
      <c r="C72" s="11">
        <v>885</v>
      </c>
      <c r="D72" s="11">
        <v>915</v>
      </c>
      <c r="E72" s="11">
        <v>885</v>
      </c>
      <c r="F72" s="11">
        <v>900</v>
      </c>
      <c r="G72" s="11">
        <v>727.17</v>
      </c>
      <c r="H72" s="12">
        <v>53409600</v>
      </c>
      <c r="I72" s="22" t="str">
        <f t="shared" si="17"/>
        <v>+</v>
      </c>
      <c r="J72" s="13">
        <f t="shared" si="18"/>
        <v>1.6949152542372881</v>
      </c>
      <c r="K72" s="13">
        <f t="shared" si="19"/>
        <v>-24.45248505234332</v>
      </c>
      <c r="L72" s="14" t="str">
        <f t="shared" si="14"/>
        <v>Normal</v>
      </c>
      <c r="M72" s="14" t="str">
        <f t="shared" si="15"/>
        <v>Normal</v>
      </c>
      <c r="N72" s="14" t="str">
        <f t="shared" si="16"/>
        <v>No</v>
      </c>
    </row>
    <row r="73" spans="1:20" x14ac:dyDescent="0.25">
      <c r="A73" s="9">
        <v>43565</v>
      </c>
      <c r="B73" s="10">
        <v>2019</v>
      </c>
      <c r="C73" s="11">
        <v>900</v>
      </c>
      <c r="D73" s="11">
        <v>910</v>
      </c>
      <c r="E73" s="11">
        <v>890</v>
      </c>
      <c r="F73" s="11">
        <v>895</v>
      </c>
      <c r="G73" s="11">
        <v>723.13</v>
      </c>
      <c r="H73" s="12">
        <v>45347600</v>
      </c>
      <c r="I73" s="22" t="str">
        <f t="shared" si="17"/>
        <v>-</v>
      </c>
      <c r="J73" s="13">
        <f t="shared" si="18"/>
        <v>-0.55555555555555558</v>
      </c>
      <c r="K73" s="13">
        <f t="shared" si="19"/>
        <v>-15.094664629579702</v>
      </c>
      <c r="L73" s="14" t="str">
        <f t="shared" si="14"/>
        <v>Normal</v>
      </c>
      <c r="M73" s="14" t="str">
        <f t="shared" si="15"/>
        <v>Normal</v>
      </c>
      <c r="N73" s="14" t="str">
        <f t="shared" si="16"/>
        <v>No</v>
      </c>
    </row>
    <row r="74" spans="1:20" x14ac:dyDescent="0.25">
      <c r="A74" s="9">
        <v>43566</v>
      </c>
      <c r="B74" s="10">
        <v>2019</v>
      </c>
      <c r="C74" s="11">
        <v>900</v>
      </c>
      <c r="D74" s="11">
        <v>905</v>
      </c>
      <c r="E74" s="11">
        <v>890</v>
      </c>
      <c r="F74" s="11">
        <v>895</v>
      </c>
      <c r="G74" s="11">
        <v>723.13</v>
      </c>
      <c r="H74" s="12">
        <v>36952500</v>
      </c>
      <c r="I74" s="22" t="str">
        <f t="shared" si="17"/>
        <v>0</v>
      </c>
      <c r="J74" s="13">
        <f t="shared" si="18"/>
        <v>0</v>
      </c>
      <c r="K74" s="13">
        <f t="shared" si="19"/>
        <v>-18.512776861399502</v>
      </c>
      <c r="L74" s="14" t="str">
        <f t="shared" si="14"/>
        <v>Normal</v>
      </c>
      <c r="M74" s="14" t="str">
        <f t="shared" si="15"/>
        <v>Normal</v>
      </c>
      <c r="N74" s="14" t="str">
        <f t="shared" si="16"/>
        <v>No</v>
      </c>
    </row>
    <row r="75" spans="1:20" x14ac:dyDescent="0.25">
      <c r="A75" s="9">
        <v>43567</v>
      </c>
      <c r="B75" s="10">
        <v>2019</v>
      </c>
      <c r="C75" s="11">
        <v>885</v>
      </c>
      <c r="D75" s="11">
        <v>890</v>
      </c>
      <c r="E75" s="11">
        <v>875</v>
      </c>
      <c r="F75" s="11">
        <v>880</v>
      </c>
      <c r="G75" s="11">
        <v>711.01</v>
      </c>
      <c r="H75" s="12">
        <v>45356300</v>
      </c>
      <c r="I75" s="22" t="str">
        <f t="shared" si="17"/>
        <v>-</v>
      </c>
      <c r="J75" s="13">
        <f t="shared" si="18"/>
        <v>-1.6759776536312849</v>
      </c>
      <c r="K75" s="13">
        <f t="shared" si="19"/>
        <v>22.742169000744198</v>
      </c>
      <c r="L75" s="14" t="str">
        <f t="shared" si="14"/>
        <v>Normal</v>
      </c>
      <c r="M75" s="14" t="str">
        <f t="shared" si="15"/>
        <v>Normal</v>
      </c>
      <c r="N75" s="14" t="str">
        <f t="shared" si="16"/>
        <v>No</v>
      </c>
    </row>
    <row r="76" spans="1:20" x14ac:dyDescent="0.25">
      <c r="A76" s="9">
        <v>43570</v>
      </c>
      <c r="B76" s="10">
        <v>2019</v>
      </c>
      <c r="C76" s="11">
        <v>880</v>
      </c>
      <c r="D76" s="11">
        <v>890</v>
      </c>
      <c r="E76" s="11">
        <v>880</v>
      </c>
      <c r="F76" s="11">
        <v>885</v>
      </c>
      <c r="G76" s="11">
        <v>715.05</v>
      </c>
      <c r="H76" s="12">
        <v>30757400</v>
      </c>
      <c r="I76" s="22" t="str">
        <f t="shared" si="17"/>
        <v>+</v>
      </c>
      <c r="J76" s="13">
        <f t="shared" si="18"/>
        <v>0.56818181818181823</v>
      </c>
      <c r="K76" s="13">
        <f t="shared" si="19"/>
        <v>-32.187149304506761</v>
      </c>
      <c r="L76" s="14" t="str">
        <f t="shared" si="14"/>
        <v>Normal</v>
      </c>
      <c r="M76" s="14" t="str">
        <f t="shared" si="15"/>
        <v>Normal</v>
      </c>
      <c r="N76" s="14" t="str">
        <f t="shared" si="16"/>
        <v>No</v>
      </c>
    </row>
    <row r="77" spans="1:20" x14ac:dyDescent="0.25">
      <c r="A77" s="9">
        <v>43571</v>
      </c>
      <c r="B77" s="10">
        <v>2019</v>
      </c>
      <c r="C77" s="11">
        <v>880</v>
      </c>
      <c r="D77" s="11">
        <v>900</v>
      </c>
      <c r="E77" s="11">
        <v>880</v>
      </c>
      <c r="F77" s="11">
        <v>895</v>
      </c>
      <c r="G77" s="11">
        <v>723.13</v>
      </c>
      <c r="H77" s="12">
        <v>27035500</v>
      </c>
      <c r="I77" s="22" t="str">
        <f t="shared" si="17"/>
        <v>+</v>
      </c>
      <c r="J77" s="13">
        <f t="shared" si="18"/>
        <v>1.1299435028248588</v>
      </c>
      <c r="K77" s="13">
        <f t="shared" si="19"/>
        <v>-12.100827768276902</v>
      </c>
      <c r="L77" s="14" t="str">
        <f t="shared" si="14"/>
        <v>Normal</v>
      </c>
      <c r="M77" s="14" t="str">
        <f t="shared" si="15"/>
        <v>Normal</v>
      </c>
      <c r="N77" s="14" t="str">
        <f t="shared" si="16"/>
        <v>No</v>
      </c>
    </row>
    <row r="78" spans="1:20" x14ac:dyDescent="0.25">
      <c r="A78" s="9">
        <v>43572</v>
      </c>
      <c r="B78" s="10">
        <v>2019</v>
      </c>
      <c r="C78" s="11">
        <v>895</v>
      </c>
      <c r="D78" s="11">
        <v>895</v>
      </c>
      <c r="E78" s="11">
        <v>895</v>
      </c>
      <c r="F78" s="11">
        <v>895</v>
      </c>
      <c r="G78" s="11">
        <v>723.13</v>
      </c>
      <c r="H78" s="12"/>
      <c r="I78" s="22" t="str">
        <f t="shared" si="17"/>
        <v>0</v>
      </c>
      <c r="J78" s="13">
        <f t="shared" si="18"/>
        <v>0</v>
      </c>
      <c r="K78" s="13">
        <f t="shared" si="19"/>
        <v>-100</v>
      </c>
      <c r="L78" s="14" t="str">
        <f t="shared" si="14"/>
        <v>Normal</v>
      </c>
      <c r="M78" s="14" t="str">
        <f t="shared" si="15"/>
        <v>Sharp Volume Decrease</v>
      </c>
      <c r="N78" s="14" t="str">
        <f t="shared" si="16"/>
        <v>No</v>
      </c>
    </row>
    <row r="79" spans="1:20" x14ac:dyDescent="0.25">
      <c r="A79" s="9">
        <v>43573</v>
      </c>
      <c r="B79" s="10">
        <v>2019</v>
      </c>
      <c r="C79" s="11">
        <v>905</v>
      </c>
      <c r="D79" s="11">
        <v>910</v>
      </c>
      <c r="E79" s="11">
        <v>885</v>
      </c>
      <c r="F79" s="11">
        <v>885</v>
      </c>
      <c r="G79" s="11">
        <v>715.05</v>
      </c>
      <c r="H79" s="12">
        <v>41688500</v>
      </c>
      <c r="I79" s="22" t="str">
        <f t="shared" si="17"/>
        <v>-</v>
      </c>
      <c r="J79" s="13">
        <f t="shared" si="18"/>
        <v>-1.1173184357541899</v>
      </c>
      <c r="K79" s="13" t="e">
        <f t="shared" si="19"/>
        <v>#DIV/0!</v>
      </c>
      <c r="L79" s="14" t="str">
        <f t="shared" si="14"/>
        <v>Normal</v>
      </c>
      <c r="M79" s="14" t="str">
        <f t="shared" si="15"/>
        <v>Normal</v>
      </c>
      <c r="N79" s="14" t="str">
        <f t="shared" si="16"/>
        <v>No</v>
      </c>
    </row>
    <row r="80" spans="1:20" x14ac:dyDescent="0.25">
      <c r="A80" s="9">
        <v>43574</v>
      </c>
      <c r="B80" s="10">
        <v>2019</v>
      </c>
      <c r="C80" s="11">
        <v>885</v>
      </c>
      <c r="D80" s="11">
        <v>885</v>
      </c>
      <c r="E80" s="11">
        <v>885</v>
      </c>
      <c r="F80" s="11">
        <v>885</v>
      </c>
      <c r="G80" s="11">
        <v>715.05</v>
      </c>
      <c r="H80" s="12"/>
      <c r="I80" s="22" t="str">
        <f t="shared" si="17"/>
        <v>0</v>
      </c>
      <c r="J80" s="13">
        <f t="shared" si="18"/>
        <v>0</v>
      </c>
      <c r="K80" s="13">
        <f t="shared" si="19"/>
        <v>-100</v>
      </c>
      <c r="L80" s="14" t="str">
        <f t="shared" si="14"/>
        <v>Normal</v>
      </c>
      <c r="M80" s="14" t="str">
        <f t="shared" si="15"/>
        <v>Sharp Volume Decrease</v>
      </c>
      <c r="N80" s="14" t="str">
        <f t="shared" si="16"/>
        <v>No</v>
      </c>
    </row>
    <row r="81" spans="1:14" x14ac:dyDescent="0.25">
      <c r="A81" s="9">
        <v>43577</v>
      </c>
      <c r="B81" s="10">
        <v>2019</v>
      </c>
      <c r="C81" s="11">
        <v>880</v>
      </c>
      <c r="D81" s="11">
        <v>890</v>
      </c>
      <c r="E81" s="11">
        <v>850</v>
      </c>
      <c r="F81" s="11">
        <v>855</v>
      </c>
      <c r="G81" s="11">
        <v>690.81</v>
      </c>
      <c r="H81" s="12">
        <v>75543000</v>
      </c>
      <c r="I81" s="22" t="str">
        <f t="shared" si="17"/>
        <v>-</v>
      </c>
      <c r="J81" s="13">
        <f t="shared" si="18"/>
        <v>-3.3898305084745761</v>
      </c>
      <c r="K81" s="13" t="e">
        <f t="shared" si="19"/>
        <v>#DIV/0!</v>
      </c>
      <c r="L81" s="14" t="str">
        <f t="shared" si="14"/>
        <v>Normal</v>
      </c>
      <c r="M81" s="14" t="str">
        <f t="shared" si="15"/>
        <v>Normal</v>
      </c>
      <c r="N81" s="14" t="str">
        <f t="shared" si="16"/>
        <v>No</v>
      </c>
    </row>
    <row r="82" spans="1:14" x14ac:dyDescent="0.25">
      <c r="A82" s="9">
        <v>43578</v>
      </c>
      <c r="B82" s="10">
        <v>2019</v>
      </c>
      <c r="C82" s="11">
        <v>860</v>
      </c>
      <c r="D82" s="11">
        <v>890</v>
      </c>
      <c r="E82" s="11">
        <v>855</v>
      </c>
      <c r="F82" s="11">
        <v>890</v>
      </c>
      <c r="G82" s="11">
        <v>719.09</v>
      </c>
      <c r="H82" s="12">
        <v>54820700</v>
      </c>
      <c r="I82" s="22" t="str">
        <f t="shared" si="17"/>
        <v>+</v>
      </c>
      <c r="J82" s="13">
        <f t="shared" si="18"/>
        <v>4.0935672514619883</v>
      </c>
      <c r="K82" s="13">
        <f t="shared" si="19"/>
        <v>-27.431131938101476</v>
      </c>
      <c r="L82" s="14" t="str">
        <f t="shared" si="14"/>
        <v>Normal</v>
      </c>
      <c r="M82" s="14" t="str">
        <f t="shared" si="15"/>
        <v>Normal</v>
      </c>
      <c r="N82" s="14" t="str">
        <f t="shared" si="16"/>
        <v>No</v>
      </c>
    </row>
    <row r="83" spans="1:14" x14ac:dyDescent="0.25">
      <c r="A83" s="9">
        <v>43579</v>
      </c>
      <c r="B83" s="10">
        <v>2019</v>
      </c>
      <c r="C83" s="11">
        <v>890</v>
      </c>
      <c r="D83" s="11">
        <v>890</v>
      </c>
      <c r="E83" s="11">
        <v>875</v>
      </c>
      <c r="F83" s="11">
        <v>880</v>
      </c>
      <c r="G83" s="11">
        <v>711.01</v>
      </c>
      <c r="H83" s="12">
        <v>28625000</v>
      </c>
      <c r="I83" s="22" t="str">
        <f t="shared" si="17"/>
        <v>-</v>
      </c>
      <c r="J83" s="13">
        <f t="shared" si="18"/>
        <v>-1.1235955056179776</v>
      </c>
      <c r="K83" s="13">
        <f t="shared" si="19"/>
        <v>-47.784322345391431</v>
      </c>
      <c r="L83" s="14" t="str">
        <f t="shared" si="14"/>
        <v>Normal</v>
      </c>
      <c r="M83" s="14" t="str">
        <f t="shared" si="15"/>
        <v>Normal</v>
      </c>
      <c r="N83" s="14" t="str">
        <f t="shared" si="16"/>
        <v>No</v>
      </c>
    </row>
    <row r="84" spans="1:14" x14ac:dyDescent="0.25">
      <c r="A84" s="9">
        <v>43580</v>
      </c>
      <c r="B84" s="10">
        <v>2019</v>
      </c>
      <c r="C84" s="11">
        <v>880</v>
      </c>
      <c r="D84" s="11">
        <v>885</v>
      </c>
      <c r="E84" s="11">
        <v>865</v>
      </c>
      <c r="F84" s="11">
        <v>870</v>
      </c>
      <c r="G84" s="11">
        <v>702.93</v>
      </c>
      <c r="H84" s="12">
        <v>28515800</v>
      </c>
      <c r="I84" s="22" t="str">
        <f t="shared" si="17"/>
        <v>-</v>
      </c>
      <c r="J84" s="13">
        <f t="shared" si="18"/>
        <v>-1.1363636363636365</v>
      </c>
      <c r="K84" s="13">
        <f t="shared" si="19"/>
        <v>-0.38148471615720525</v>
      </c>
      <c r="L84" s="14" t="str">
        <f t="shared" si="14"/>
        <v>Normal</v>
      </c>
      <c r="M84" s="14" t="str">
        <f t="shared" si="15"/>
        <v>Normal</v>
      </c>
      <c r="N84" s="14" t="str">
        <f t="shared" si="16"/>
        <v>No</v>
      </c>
    </row>
    <row r="85" spans="1:14" x14ac:dyDescent="0.25">
      <c r="A85" s="9">
        <v>43581</v>
      </c>
      <c r="B85" s="10">
        <v>2019</v>
      </c>
      <c r="C85" s="11">
        <v>865</v>
      </c>
      <c r="D85" s="11">
        <v>880</v>
      </c>
      <c r="E85" s="11">
        <v>865</v>
      </c>
      <c r="F85" s="11">
        <v>875</v>
      </c>
      <c r="G85" s="11">
        <v>706.97</v>
      </c>
      <c r="H85" s="12">
        <v>33910900</v>
      </c>
      <c r="I85" s="22" t="str">
        <f t="shared" si="17"/>
        <v>+</v>
      </c>
      <c r="J85" s="13">
        <f t="shared" si="18"/>
        <v>0.57471264367816088</v>
      </c>
      <c r="K85" s="13">
        <f t="shared" si="19"/>
        <v>18.919686629868355</v>
      </c>
      <c r="L85" s="14" t="str">
        <f t="shared" si="14"/>
        <v>Normal</v>
      </c>
      <c r="M85" s="14" t="str">
        <f t="shared" si="15"/>
        <v>Normal</v>
      </c>
      <c r="N85" s="14" t="str">
        <f t="shared" si="16"/>
        <v>No</v>
      </c>
    </row>
    <row r="86" spans="1:14" x14ac:dyDescent="0.25">
      <c r="A86" s="9">
        <v>43584</v>
      </c>
      <c r="B86" s="10">
        <v>2019</v>
      </c>
      <c r="C86" s="11">
        <v>875</v>
      </c>
      <c r="D86" s="11">
        <v>885</v>
      </c>
      <c r="E86" s="11">
        <v>870</v>
      </c>
      <c r="F86" s="11">
        <v>875</v>
      </c>
      <c r="G86" s="11">
        <v>706.97</v>
      </c>
      <c r="H86" s="12">
        <v>26437700</v>
      </c>
      <c r="I86" s="22" t="str">
        <f t="shared" si="17"/>
        <v>0</v>
      </c>
      <c r="J86" s="13">
        <f t="shared" si="18"/>
        <v>0</v>
      </c>
      <c r="K86" s="13">
        <f t="shared" si="19"/>
        <v>-22.037751873291477</v>
      </c>
      <c r="L86" s="14" t="str">
        <f t="shared" si="14"/>
        <v>Normal</v>
      </c>
      <c r="M86" s="14" t="str">
        <f t="shared" si="15"/>
        <v>Normal</v>
      </c>
      <c r="N86" s="14" t="str">
        <f t="shared" si="16"/>
        <v>No</v>
      </c>
    </row>
    <row r="87" spans="1:14" x14ac:dyDescent="0.25">
      <c r="A87" s="9">
        <v>43585</v>
      </c>
      <c r="B87" s="10">
        <v>2019</v>
      </c>
      <c r="C87" s="11">
        <v>875</v>
      </c>
      <c r="D87" s="11">
        <v>880</v>
      </c>
      <c r="E87" s="11">
        <v>855</v>
      </c>
      <c r="F87" s="11">
        <v>865</v>
      </c>
      <c r="G87" s="11">
        <v>698.89</v>
      </c>
      <c r="H87" s="12">
        <v>47939900</v>
      </c>
      <c r="I87" s="22" t="str">
        <f t="shared" si="17"/>
        <v>-</v>
      </c>
      <c r="J87" s="13">
        <f t="shared" si="18"/>
        <v>-1.1428571428571428</v>
      </c>
      <c r="K87" s="13">
        <f t="shared" si="19"/>
        <v>81.331583307171201</v>
      </c>
      <c r="L87" s="14" t="str">
        <f t="shared" si="14"/>
        <v>Normal</v>
      </c>
      <c r="M87" s="14" t="str">
        <f t="shared" si="15"/>
        <v>Normal</v>
      </c>
      <c r="N87" s="14" t="str">
        <f t="shared" si="16"/>
        <v>No</v>
      </c>
    </row>
    <row r="88" spans="1:14" x14ac:dyDescent="0.25">
      <c r="A88" s="9">
        <v>43586</v>
      </c>
      <c r="B88" s="10">
        <v>2019</v>
      </c>
      <c r="C88" s="11">
        <v>865</v>
      </c>
      <c r="D88" s="11">
        <v>865</v>
      </c>
      <c r="E88" s="11">
        <v>865</v>
      </c>
      <c r="F88" s="11">
        <v>865</v>
      </c>
      <c r="G88" s="11">
        <v>698.89</v>
      </c>
      <c r="H88" s="12"/>
      <c r="I88" s="22" t="str">
        <f t="shared" si="17"/>
        <v>0</v>
      </c>
      <c r="J88" s="13">
        <f t="shared" si="18"/>
        <v>0</v>
      </c>
      <c r="K88" s="13">
        <f t="shared" si="19"/>
        <v>-100</v>
      </c>
      <c r="L88" s="14" t="str">
        <f t="shared" si="14"/>
        <v>Normal</v>
      </c>
      <c r="M88" s="14" t="str">
        <f t="shared" si="15"/>
        <v>Sharp Volume Decrease</v>
      </c>
      <c r="N88" s="14" t="str">
        <f t="shared" si="16"/>
        <v>No</v>
      </c>
    </row>
    <row r="89" spans="1:14" x14ac:dyDescent="0.25">
      <c r="A89" s="9">
        <v>43587</v>
      </c>
      <c r="B89" s="10">
        <v>2019</v>
      </c>
      <c r="C89" s="11">
        <v>865</v>
      </c>
      <c r="D89" s="11">
        <v>870</v>
      </c>
      <c r="E89" s="11">
        <v>815</v>
      </c>
      <c r="F89" s="11">
        <v>820</v>
      </c>
      <c r="G89" s="11">
        <v>662.53</v>
      </c>
      <c r="H89" s="12">
        <v>105857000</v>
      </c>
      <c r="I89" s="22" t="str">
        <f t="shared" si="17"/>
        <v>-</v>
      </c>
      <c r="J89" s="13">
        <f t="shared" si="18"/>
        <v>-5.202312138728324</v>
      </c>
      <c r="K89" s="13" t="e">
        <f t="shared" si="19"/>
        <v>#DIV/0!</v>
      </c>
      <c r="L89" s="14" t="str">
        <f t="shared" si="14"/>
        <v>Sharp Price Decrease</v>
      </c>
      <c r="M89" s="14" t="str">
        <f t="shared" si="15"/>
        <v>Normal</v>
      </c>
      <c r="N89" s="14" t="str">
        <f t="shared" si="16"/>
        <v>No</v>
      </c>
    </row>
    <row r="90" spans="1:14" x14ac:dyDescent="0.25">
      <c r="A90" s="9">
        <v>43588</v>
      </c>
      <c r="B90" s="10">
        <v>2019</v>
      </c>
      <c r="C90" s="11">
        <v>820</v>
      </c>
      <c r="D90" s="11">
        <v>825</v>
      </c>
      <c r="E90" s="11">
        <v>785</v>
      </c>
      <c r="F90" s="11">
        <v>790</v>
      </c>
      <c r="G90" s="11">
        <v>638.29</v>
      </c>
      <c r="H90" s="12">
        <v>95259500</v>
      </c>
      <c r="I90" s="22" t="str">
        <f t="shared" si="17"/>
        <v>-</v>
      </c>
      <c r="J90" s="13">
        <f t="shared" si="18"/>
        <v>-3.6585365853658534</v>
      </c>
      <c r="K90" s="13">
        <f t="shared" si="19"/>
        <v>-10.011147113558858</v>
      </c>
      <c r="L90" s="14" t="str">
        <f t="shared" si="14"/>
        <v>Normal</v>
      </c>
      <c r="M90" s="14" t="str">
        <f t="shared" si="15"/>
        <v>Normal</v>
      </c>
      <c r="N90" s="14" t="str">
        <f t="shared" si="16"/>
        <v>No</v>
      </c>
    </row>
    <row r="91" spans="1:14" x14ac:dyDescent="0.25">
      <c r="A91" s="9">
        <v>43591</v>
      </c>
      <c r="B91" s="10">
        <v>2019</v>
      </c>
      <c r="C91" s="11">
        <v>780</v>
      </c>
      <c r="D91" s="11">
        <v>780</v>
      </c>
      <c r="E91" s="11">
        <v>745</v>
      </c>
      <c r="F91" s="11">
        <v>760</v>
      </c>
      <c r="G91" s="11">
        <v>624.12</v>
      </c>
      <c r="H91" s="12">
        <v>83337600</v>
      </c>
      <c r="I91" s="22" t="str">
        <f t="shared" si="17"/>
        <v>-</v>
      </c>
      <c r="J91" s="13">
        <f t="shared" si="18"/>
        <v>-3.79746835443038</v>
      </c>
      <c r="K91" s="13">
        <f t="shared" si="19"/>
        <v>-12.515182212797674</v>
      </c>
      <c r="L91" s="14" t="str">
        <f t="shared" si="14"/>
        <v>Normal</v>
      </c>
      <c r="M91" s="14" t="str">
        <f t="shared" si="15"/>
        <v>Normal</v>
      </c>
      <c r="N91" s="14" t="str">
        <f t="shared" si="16"/>
        <v>No</v>
      </c>
    </row>
    <row r="92" spans="1:14" x14ac:dyDescent="0.25">
      <c r="A92" s="9">
        <v>43592</v>
      </c>
      <c r="B92" s="10">
        <v>2019</v>
      </c>
      <c r="C92" s="11">
        <v>765</v>
      </c>
      <c r="D92" s="11">
        <v>780</v>
      </c>
      <c r="E92" s="11">
        <v>765</v>
      </c>
      <c r="F92" s="11">
        <v>765</v>
      </c>
      <c r="G92" s="11">
        <v>628.22</v>
      </c>
      <c r="H92" s="12">
        <v>37394800</v>
      </c>
      <c r="I92" s="22" t="str">
        <f t="shared" si="17"/>
        <v>+</v>
      </c>
      <c r="J92" s="13">
        <f t="shared" si="18"/>
        <v>0.6578947368421052</v>
      </c>
      <c r="K92" s="13">
        <f t="shared" si="19"/>
        <v>-55.12853741888415</v>
      </c>
      <c r="L92" s="14" t="str">
        <f t="shared" si="14"/>
        <v>Normal</v>
      </c>
      <c r="M92" s="14" t="str">
        <f t="shared" si="15"/>
        <v>Normal</v>
      </c>
      <c r="N92" s="14" t="str">
        <f t="shared" si="16"/>
        <v>No</v>
      </c>
    </row>
    <row r="93" spans="1:14" x14ac:dyDescent="0.25">
      <c r="A93" s="9">
        <v>43593</v>
      </c>
      <c r="B93" s="10">
        <v>2019</v>
      </c>
      <c r="C93" s="11">
        <v>755</v>
      </c>
      <c r="D93" s="11">
        <v>770</v>
      </c>
      <c r="E93" s="11">
        <v>750</v>
      </c>
      <c r="F93" s="11">
        <v>765</v>
      </c>
      <c r="G93" s="11">
        <v>628.22</v>
      </c>
      <c r="H93" s="12">
        <v>38541800</v>
      </c>
      <c r="I93" s="22" t="str">
        <f t="shared" si="17"/>
        <v>0</v>
      </c>
      <c r="J93" s="13">
        <f t="shared" si="18"/>
        <v>0</v>
      </c>
      <c r="K93" s="13">
        <f t="shared" si="19"/>
        <v>3.0672713853263018</v>
      </c>
      <c r="L93" s="14" t="str">
        <f t="shared" si="14"/>
        <v>Normal</v>
      </c>
      <c r="M93" s="14" t="str">
        <f t="shared" si="15"/>
        <v>Normal</v>
      </c>
      <c r="N93" s="14" t="str">
        <f t="shared" si="16"/>
        <v>No</v>
      </c>
    </row>
    <row r="94" spans="1:14" x14ac:dyDescent="0.25">
      <c r="A94" s="9">
        <v>43594</v>
      </c>
      <c r="B94" s="10">
        <v>2019</v>
      </c>
      <c r="C94" s="11">
        <v>765</v>
      </c>
      <c r="D94" s="11">
        <v>770</v>
      </c>
      <c r="E94" s="11">
        <v>730</v>
      </c>
      <c r="F94" s="11">
        <v>730</v>
      </c>
      <c r="G94" s="11">
        <v>599.48</v>
      </c>
      <c r="H94" s="12">
        <v>55956100</v>
      </c>
      <c r="I94" s="22" t="str">
        <f t="shared" si="17"/>
        <v>-</v>
      </c>
      <c r="J94" s="13">
        <f t="shared" si="18"/>
        <v>-4.5751633986928102</v>
      </c>
      <c r="K94" s="13">
        <f t="shared" si="19"/>
        <v>45.182892340264338</v>
      </c>
      <c r="L94" s="14" t="str">
        <f t="shared" si="14"/>
        <v>Sharp Price Decrease</v>
      </c>
      <c r="M94" s="14" t="str">
        <f t="shared" si="15"/>
        <v>Normal</v>
      </c>
      <c r="N94" s="14" t="str">
        <f t="shared" si="16"/>
        <v>No</v>
      </c>
    </row>
    <row r="95" spans="1:14" x14ac:dyDescent="0.25">
      <c r="A95" s="9">
        <v>43595</v>
      </c>
      <c r="B95" s="10">
        <v>2019</v>
      </c>
      <c r="C95" s="11">
        <v>740</v>
      </c>
      <c r="D95" s="11">
        <v>750</v>
      </c>
      <c r="E95" s="11">
        <v>720</v>
      </c>
      <c r="F95" s="11">
        <v>745</v>
      </c>
      <c r="G95" s="11">
        <v>611.79999999999995</v>
      </c>
      <c r="H95" s="12">
        <v>57424000</v>
      </c>
      <c r="I95" s="22" t="str">
        <f t="shared" si="17"/>
        <v>+</v>
      </c>
      <c r="J95" s="13">
        <f t="shared" si="18"/>
        <v>2.054794520547945</v>
      </c>
      <c r="K95" s="13">
        <f t="shared" si="19"/>
        <v>2.6233064849051311</v>
      </c>
      <c r="L95" s="14" t="str">
        <f t="shared" si="14"/>
        <v>Normal</v>
      </c>
      <c r="M95" s="14" t="str">
        <f t="shared" si="15"/>
        <v>Normal</v>
      </c>
      <c r="N95" s="14" t="str">
        <f t="shared" si="16"/>
        <v>No</v>
      </c>
    </row>
    <row r="96" spans="1:14" x14ac:dyDescent="0.25">
      <c r="A96" s="9">
        <v>43598</v>
      </c>
      <c r="B96" s="10">
        <v>2019</v>
      </c>
      <c r="C96" s="11">
        <v>745</v>
      </c>
      <c r="D96" s="11">
        <v>750</v>
      </c>
      <c r="E96" s="11">
        <v>725</v>
      </c>
      <c r="F96" s="11">
        <v>730</v>
      </c>
      <c r="G96" s="11">
        <v>599.48</v>
      </c>
      <c r="H96" s="12">
        <v>45550200</v>
      </c>
      <c r="I96" s="22" t="str">
        <f t="shared" si="17"/>
        <v>-</v>
      </c>
      <c r="J96" s="13">
        <f t="shared" si="18"/>
        <v>-2.0134228187919461</v>
      </c>
      <c r="K96" s="13">
        <f t="shared" si="19"/>
        <v>-20.677417107829481</v>
      </c>
      <c r="L96" s="14" t="str">
        <f t="shared" si="14"/>
        <v>Normal</v>
      </c>
      <c r="M96" s="14" t="str">
        <f t="shared" si="15"/>
        <v>Normal</v>
      </c>
      <c r="N96" s="14" t="str">
        <f t="shared" si="16"/>
        <v>No</v>
      </c>
    </row>
    <row r="97" spans="1:14" x14ac:dyDescent="0.25">
      <c r="A97" s="9">
        <v>43599</v>
      </c>
      <c r="B97" s="10">
        <v>2019</v>
      </c>
      <c r="C97" s="11">
        <v>720</v>
      </c>
      <c r="D97" s="11">
        <v>720</v>
      </c>
      <c r="E97" s="11">
        <v>700</v>
      </c>
      <c r="F97" s="11">
        <v>710</v>
      </c>
      <c r="G97" s="11">
        <v>583.05999999999995</v>
      </c>
      <c r="H97" s="12">
        <v>66670300</v>
      </c>
      <c r="I97" s="22" t="str">
        <f t="shared" si="17"/>
        <v>-</v>
      </c>
      <c r="J97" s="13">
        <f t="shared" si="18"/>
        <v>-2.7397260273972601</v>
      </c>
      <c r="K97" s="13">
        <f t="shared" si="19"/>
        <v>46.366646030094273</v>
      </c>
      <c r="L97" s="14" t="str">
        <f t="shared" si="14"/>
        <v>Normal</v>
      </c>
      <c r="M97" s="14" t="str">
        <f t="shared" si="15"/>
        <v>Normal</v>
      </c>
      <c r="N97" s="14" t="str">
        <f t="shared" si="16"/>
        <v>No</v>
      </c>
    </row>
    <row r="98" spans="1:14" x14ac:dyDescent="0.25">
      <c r="A98" s="9">
        <v>43600</v>
      </c>
      <c r="B98" s="10">
        <v>2019</v>
      </c>
      <c r="C98" s="11">
        <v>720</v>
      </c>
      <c r="D98" s="11">
        <v>735</v>
      </c>
      <c r="E98" s="11">
        <v>695</v>
      </c>
      <c r="F98" s="11">
        <v>700</v>
      </c>
      <c r="G98" s="11">
        <v>574.84</v>
      </c>
      <c r="H98" s="12">
        <v>100102600</v>
      </c>
      <c r="I98" s="22" t="str">
        <f t="shared" si="17"/>
        <v>-</v>
      </c>
      <c r="J98" s="13">
        <f t="shared" si="18"/>
        <v>-1.4084507042253522</v>
      </c>
      <c r="K98" s="13">
        <f t="shared" si="19"/>
        <v>50.145717058420317</v>
      </c>
      <c r="L98" s="14" t="str">
        <f t="shared" si="14"/>
        <v>Normal</v>
      </c>
      <c r="M98" s="14" t="str">
        <f t="shared" si="15"/>
        <v>Normal</v>
      </c>
      <c r="N98" s="14" t="str">
        <f t="shared" si="16"/>
        <v>No</v>
      </c>
    </row>
    <row r="99" spans="1:14" x14ac:dyDescent="0.25">
      <c r="A99" s="9">
        <v>43601</v>
      </c>
      <c r="B99" s="10">
        <v>2019</v>
      </c>
      <c r="C99" s="11">
        <v>700</v>
      </c>
      <c r="D99" s="11">
        <v>715</v>
      </c>
      <c r="E99" s="11">
        <v>680</v>
      </c>
      <c r="F99" s="11">
        <v>685</v>
      </c>
      <c r="G99" s="11">
        <v>562.53</v>
      </c>
      <c r="H99" s="12">
        <v>52975400</v>
      </c>
      <c r="I99" s="22" t="str">
        <f t="shared" si="17"/>
        <v>-</v>
      </c>
      <c r="J99" s="13">
        <f t="shared" si="18"/>
        <v>-2.1428571428571428</v>
      </c>
      <c r="K99" s="13">
        <f t="shared" si="19"/>
        <v>-47.078897051625034</v>
      </c>
      <c r="L99" s="14" t="str">
        <f t="shared" si="14"/>
        <v>Normal</v>
      </c>
      <c r="M99" s="14" t="str">
        <f t="shared" si="15"/>
        <v>Normal</v>
      </c>
      <c r="N99" s="14" t="str">
        <f t="shared" si="16"/>
        <v>No</v>
      </c>
    </row>
    <row r="100" spans="1:14" x14ac:dyDescent="0.25">
      <c r="A100" s="9">
        <v>43602</v>
      </c>
      <c r="B100" s="10">
        <v>2019</v>
      </c>
      <c r="C100" s="11">
        <v>690</v>
      </c>
      <c r="D100" s="11">
        <v>695</v>
      </c>
      <c r="E100" s="11">
        <v>670</v>
      </c>
      <c r="F100" s="11">
        <v>670</v>
      </c>
      <c r="G100" s="11">
        <v>550.21</v>
      </c>
      <c r="H100" s="12">
        <v>36307200</v>
      </c>
      <c r="I100" s="22" t="str">
        <f t="shared" si="17"/>
        <v>-</v>
      </c>
      <c r="J100" s="13">
        <f t="shared" si="18"/>
        <v>-2.1897810218978102</v>
      </c>
      <c r="K100" s="13">
        <f t="shared" si="19"/>
        <v>-31.464038025196601</v>
      </c>
      <c r="L100" s="14" t="str">
        <f t="shared" si="14"/>
        <v>Normal</v>
      </c>
      <c r="M100" s="14" t="str">
        <f t="shared" si="15"/>
        <v>Normal</v>
      </c>
      <c r="N100" s="14" t="str">
        <f t="shared" si="16"/>
        <v>No</v>
      </c>
    </row>
    <row r="101" spans="1:14" x14ac:dyDescent="0.25">
      <c r="A101" s="9">
        <v>43605</v>
      </c>
      <c r="B101" s="10">
        <v>2019</v>
      </c>
      <c r="C101" s="11">
        <v>675</v>
      </c>
      <c r="D101" s="11">
        <v>690</v>
      </c>
      <c r="E101" s="11">
        <v>660</v>
      </c>
      <c r="F101" s="11">
        <v>685</v>
      </c>
      <c r="G101" s="11">
        <v>562.53</v>
      </c>
      <c r="H101" s="12">
        <v>49978300</v>
      </c>
      <c r="I101" s="22" t="str">
        <f t="shared" si="17"/>
        <v>+</v>
      </c>
      <c r="J101" s="13">
        <f t="shared" si="18"/>
        <v>2.2388059701492535</v>
      </c>
      <c r="K101" s="13">
        <f t="shared" si="19"/>
        <v>37.653963952053587</v>
      </c>
      <c r="L101" s="14" t="str">
        <f t="shared" si="14"/>
        <v>Normal</v>
      </c>
      <c r="M101" s="14" t="str">
        <f t="shared" si="15"/>
        <v>Normal</v>
      </c>
      <c r="N101" s="14" t="str">
        <f t="shared" si="16"/>
        <v>No</v>
      </c>
    </row>
    <row r="102" spans="1:14" x14ac:dyDescent="0.25">
      <c r="A102" s="9">
        <v>43606</v>
      </c>
      <c r="B102" s="10">
        <v>2019</v>
      </c>
      <c r="C102" s="11">
        <v>690</v>
      </c>
      <c r="D102" s="11">
        <v>725</v>
      </c>
      <c r="E102" s="11">
        <v>690</v>
      </c>
      <c r="F102" s="11">
        <v>710</v>
      </c>
      <c r="G102" s="11">
        <v>583.05999999999995</v>
      </c>
      <c r="H102" s="12">
        <v>65902900</v>
      </c>
      <c r="I102" s="22" t="str">
        <f t="shared" si="17"/>
        <v>+</v>
      </c>
      <c r="J102" s="13">
        <f t="shared" si="18"/>
        <v>3.6496350364963499</v>
      </c>
      <c r="K102" s="13">
        <f t="shared" si="19"/>
        <v>31.86302855439261</v>
      </c>
      <c r="L102" s="14" t="str">
        <f t="shared" si="14"/>
        <v>Normal</v>
      </c>
      <c r="M102" s="14" t="str">
        <f t="shared" si="15"/>
        <v>Normal</v>
      </c>
      <c r="N102" s="14" t="str">
        <f t="shared" si="16"/>
        <v>No</v>
      </c>
    </row>
    <row r="103" spans="1:14" x14ac:dyDescent="0.25">
      <c r="A103" s="9">
        <v>43607</v>
      </c>
      <c r="B103" s="10">
        <v>2019</v>
      </c>
      <c r="C103" s="11">
        <v>700</v>
      </c>
      <c r="D103" s="11">
        <v>725</v>
      </c>
      <c r="E103" s="11">
        <v>700</v>
      </c>
      <c r="F103" s="11">
        <v>710</v>
      </c>
      <c r="G103" s="11">
        <v>583.05999999999995</v>
      </c>
      <c r="H103" s="12">
        <v>49193900</v>
      </c>
      <c r="I103" s="22" t="str">
        <f t="shared" si="17"/>
        <v>0</v>
      </c>
      <c r="J103" s="13">
        <f t="shared" si="18"/>
        <v>0</v>
      </c>
      <c r="K103" s="13">
        <f t="shared" si="19"/>
        <v>-25.353967731313798</v>
      </c>
      <c r="L103" s="14" t="str">
        <f t="shared" si="14"/>
        <v>Normal</v>
      </c>
      <c r="M103" s="14" t="str">
        <f t="shared" si="15"/>
        <v>Normal</v>
      </c>
      <c r="N103" s="14" t="str">
        <f t="shared" si="16"/>
        <v>No</v>
      </c>
    </row>
    <row r="104" spans="1:14" x14ac:dyDescent="0.25">
      <c r="A104" s="9">
        <v>43608</v>
      </c>
      <c r="B104" s="10">
        <v>2019</v>
      </c>
      <c r="C104" s="11">
        <v>710</v>
      </c>
      <c r="D104" s="11">
        <v>740</v>
      </c>
      <c r="E104" s="11">
        <v>710</v>
      </c>
      <c r="F104" s="11">
        <v>740</v>
      </c>
      <c r="G104" s="11">
        <v>607.69000000000005</v>
      </c>
      <c r="H104" s="12">
        <v>62518900</v>
      </c>
      <c r="I104" s="22" t="str">
        <f t="shared" si="17"/>
        <v>+</v>
      </c>
      <c r="J104" s="13">
        <f t="shared" si="18"/>
        <v>4.225352112676056</v>
      </c>
      <c r="K104" s="13">
        <f t="shared" si="19"/>
        <v>27.086691642663013</v>
      </c>
      <c r="L104" s="14" t="str">
        <f t="shared" si="14"/>
        <v>Normal</v>
      </c>
      <c r="M104" s="14" t="str">
        <f t="shared" si="15"/>
        <v>Normal</v>
      </c>
      <c r="N104" s="14" t="str">
        <f t="shared" si="16"/>
        <v>No</v>
      </c>
    </row>
    <row r="105" spans="1:14" x14ac:dyDescent="0.25">
      <c r="A105" s="9">
        <v>43609</v>
      </c>
      <c r="B105" s="10">
        <v>2019</v>
      </c>
      <c r="C105" s="11">
        <v>740</v>
      </c>
      <c r="D105" s="11">
        <v>755</v>
      </c>
      <c r="E105" s="11">
        <v>720</v>
      </c>
      <c r="F105" s="11">
        <v>730</v>
      </c>
      <c r="G105" s="11">
        <v>599.48</v>
      </c>
      <c r="H105" s="12">
        <v>84783700</v>
      </c>
      <c r="I105" s="22" t="str">
        <f t="shared" si="17"/>
        <v>-</v>
      </c>
      <c r="J105" s="13">
        <f t="shared" si="18"/>
        <v>-1.3513513513513513</v>
      </c>
      <c r="K105" s="13">
        <f t="shared" si="19"/>
        <v>35.612910655817679</v>
      </c>
      <c r="L105" s="14" t="str">
        <f t="shared" si="14"/>
        <v>Normal</v>
      </c>
      <c r="M105" s="14" t="str">
        <f t="shared" si="15"/>
        <v>Normal</v>
      </c>
      <c r="N105" s="14" t="str">
        <f t="shared" si="16"/>
        <v>No</v>
      </c>
    </row>
    <row r="106" spans="1:14" x14ac:dyDescent="0.25">
      <c r="A106" s="9">
        <v>43612</v>
      </c>
      <c r="B106" s="10">
        <v>2019</v>
      </c>
      <c r="C106" s="11">
        <v>740</v>
      </c>
      <c r="D106" s="11">
        <v>760</v>
      </c>
      <c r="E106" s="11">
        <v>735</v>
      </c>
      <c r="F106" s="11">
        <v>740</v>
      </c>
      <c r="G106" s="11">
        <v>607.69000000000005</v>
      </c>
      <c r="H106" s="12">
        <v>75187700</v>
      </c>
      <c r="I106" s="22" t="str">
        <f t="shared" si="17"/>
        <v>+</v>
      </c>
      <c r="J106" s="13">
        <f t="shared" si="18"/>
        <v>1.3698630136986301</v>
      </c>
      <c r="K106" s="13">
        <f t="shared" si="19"/>
        <v>-11.318213288639207</v>
      </c>
      <c r="L106" s="14" t="str">
        <f t="shared" si="14"/>
        <v>Normal</v>
      </c>
      <c r="M106" s="14" t="str">
        <f t="shared" si="15"/>
        <v>Normal</v>
      </c>
      <c r="N106" s="14" t="str">
        <f t="shared" si="16"/>
        <v>No</v>
      </c>
    </row>
    <row r="107" spans="1:14" x14ac:dyDescent="0.25">
      <c r="A107" s="9">
        <v>43613</v>
      </c>
      <c r="B107" s="10">
        <v>2019</v>
      </c>
      <c r="C107" s="11">
        <v>750</v>
      </c>
      <c r="D107" s="11">
        <v>750</v>
      </c>
      <c r="E107" s="11">
        <v>720</v>
      </c>
      <c r="F107" s="11">
        <v>720</v>
      </c>
      <c r="G107" s="11">
        <v>591.27</v>
      </c>
      <c r="H107" s="12">
        <v>56803700</v>
      </c>
      <c r="I107" s="22" t="str">
        <f t="shared" si="17"/>
        <v>-</v>
      </c>
      <c r="J107" s="13">
        <f t="shared" si="18"/>
        <v>-2.7027027027027026</v>
      </c>
      <c r="K107" s="13">
        <f t="shared" si="19"/>
        <v>-24.450807778399923</v>
      </c>
      <c r="L107" s="14" t="str">
        <f t="shared" si="14"/>
        <v>Normal</v>
      </c>
      <c r="M107" s="14" t="str">
        <f t="shared" si="15"/>
        <v>Normal</v>
      </c>
      <c r="N107" s="14" t="str">
        <f t="shared" si="16"/>
        <v>No</v>
      </c>
    </row>
    <row r="108" spans="1:14" x14ac:dyDescent="0.25">
      <c r="A108" s="9">
        <v>43614</v>
      </c>
      <c r="B108" s="10">
        <v>2019</v>
      </c>
      <c r="C108" s="11">
        <v>710</v>
      </c>
      <c r="D108" s="11">
        <v>725</v>
      </c>
      <c r="E108" s="11">
        <v>705</v>
      </c>
      <c r="F108" s="11">
        <v>715</v>
      </c>
      <c r="G108" s="11">
        <v>587.16</v>
      </c>
      <c r="H108" s="12">
        <v>38469900</v>
      </c>
      <c r="I108" s="22" t="str">
        <f t="shared" si="17"/>
        <v>-</v>
      </c>
      <c r="J108" s="13">
        <f t="shared" si="18"/>
        <v>-0.69444444444444442</v>
      </c>
      <c r="K108" s="13">
        <f t="shared" si="19"/>
        <v>-32.275714434094958</v>
      </c>
      <c r="L108" s="14" t="str">
        <f t="shared" si="14"/>
        <v>Normal</v>
      </c>
      <c r="M108" s="14" t="str">
        <f t="shared" si="15"/>
        <v>Normal</v>
      </c>
      <c r="N108" s="14" t="str">
        <f t="shared" si="16"/>
        <v>No</v>
      </c>
    </row>
    <row r="109" spans="1:14" x14ac:dyDescent="0.25">
      <c r="A109" s="9">
        <v>43615</v>
      </c>
      <c r="B109" s="10">
        <v>2019</v>
      </c>
      <c r="C109" s="11">
        <v>715</v>
      </c>
      <c r="D109" s="11">
        <v>715</v>
      </c>
      <c r="E109" s="11">
        <v>715</v>
      </c>
      <c r="F109" s="11">
        <v>715</v>
      </c>
      <c r="G109" s="11">
        <v>587.16</v>
      </c>
      <c r="H109" s="12"/>
      <c r="I109" s="22" t="str">
        <f t="shared" si="17"/>
        <v>0</v>
      </c>
      <c r="J109" s="13">
        <f t="shared" si="18"/>
        <v>0</v>
      </c>
      <c r="K109" s="13">
        <f t="shared" si="19"/>
        <v>-100</v>
      </c>
      <c r="L109" s="14" t="str">
        <f t="shared" si="14"/>
        <v>Normal</v>
      </c>
      <c r="M109" s="14" t="str">
        <f t="shared" si="15"/>
        <v>Sharp Volume Decrease</v>
      </c>
      <c r="N109" s="14" t="str">
        <f t="shared" si="16"/>
        <v>No</v>
      </c>
    </row>
    <row r="110" spans="1:14" x14ac:dyDescent="0.25">
      <c r="A110" s="9">
        <v>43616</v>
      </c>
      <c r="B110" s="10">
        <v>2019</v>
      </c>
      <c r="C110" s="11">
        <v>715</v>
      </c>
      <c r="D110" s="11">
        <v>730</v>
      </c>
      <c r="E110" s="11">
        <v>715</v>
      </c>
      <c r="F110" s="11">
        <v>725</v>
      </c>
      <c r="G110" s="11">
        <v>595.37</v>
      </c>
      <c r="H110" s="12">
        <v>33515000</v>
      </c>
      <c r="I110" s="22" t="str">
        <f t="shared" si="17"/>
        <v>+</v>
      </c>
      <c r="J110" s="13">
        <f t="shared" si="18"/>
        <v>1.3986013986013985</v>
      </c>
      <c r="K110" s="13" t="e">
        <f t="shared" si="19"/>
        <v>#DIV/0!</v>
      </c>
      <c r="L110" s="14" t="str">
        <f t="shared" si="14"/>
        <v>Normal</v>
      </c>
      <c r="M110" s="14" t="str">
        <f t="shared" si="15"/>
        <v>Normal</v>
      </c>
      <c r="N110" s="14" t="str">
        <f t="shared" si="16"/>
        <v>No</v>
      </c>
    </row>
    <row r="111" spans="1:14" x14ac:dyDescent="0.25">
      <c r="A111" s="9">
        <v>43619</v>
      </c>
      <c r="B111" s="10">
        <v>2019</v>
      </c>
      <c r="C111" s="11">
        <v>725</v>
      </c>
      <c r="D111" s="11">
        <v>725</v>
      </c>
      <c r="E111" s="11">
        <v>725</v>
      </c>
      <c r="F111" s="11">
        <v>725</v>
      </c>
      <c r="G111" s="11">
        <v>595.37</v>
      </c>
      <c r="H111" s="12"/>
      <c r="I111" s="22" t="str">
        <f t="shared" si="17"/>
        <v>0</v>
      </c>
      <c r="J111" s="13">
        <f t="shared" si="18"/>
        <v>0</v>
      </c>
      <c r="K111" s="13">
        <f t="shared" si="19"/>
        <v>-100</v>
      </c>
      <c r="L111" s="14" t="str">
        <f t="shared" si="14"/>
        <v>Normal</v>
      </c>
      <c r="M111" s="14" t="str">
        <f t="shared" si="15"/>
        <v>Sharp Volume Decrease</v>
      </c>
      <c r="N111" s="14" t="str">
        <f t="shared" si="16"/>
        <v>No</v>
      </c>
    </row>
    <row r="112" spans="1:14" x14ac:dyDescent="0.25">
      <c r="A112" s="9">
        <v>43620</v>
      </c>
      <c r="B112" s="10">
        <v>2019</v>
      </c>
      <c r="C112" s="11">
        <v>725</v>
      </c>
      <c r="D112" s="11">
        <v>725</v>
      </c>
      <c r="E112" s="11">
        <v>725</v>
      </c>
      <c r="F112" s="11">
        <v>725</v>
      </c>
      <c r="G112" s="11">
        <v>595.37</v>
      </c>
      <c r="H112" s="12"/>
      <c r="I112" s="22" t="str">
        <f t="shared" si="17"/>
        <v>0</v>
      </c>
      <c r="J112" s="13">
        <f t="shared" si="18"/>
        <v>0</v>
      </c>
      <c r="K112" s="13" t="e">
        <f t="shared" si="19"/>
        <v>#DIV/0!</v>
      </c>
      <c r="L112" s="14" t="str">
        <f t="shared" si="14"/>
        <v>Normal</v>
      </c>
      <c r="M112" s="14" t="str">
        <f t="shared" si="15"/>
        <v>Normal</v>
      </c>
      <c r="N112" s="14" t="str">
        <f t="shared" si="16"/>
        <v>No</v>
      </c>
    </row>
    <row r="113" spans="1:14" x14ac:dyDescent="0.25">
      <c r="A113" s="9">
        <v>43621</v>
      </c>
      <c r="B113" s="10">
        <v>2019</v>
      </c>
      <c r="C113" s="11">
        <v>725</v>
      </c>
      <c r="D113" s="11">
        <v>725</v>
      </c>
      <c r="E113" s="11">
        <v>725</v>
      </c>
      <c r="F113" s="11">
        <v>725</v>
      </c>
      <c r="G113" s="11">
        <v>595.37</v>
      </c>
      <c r="H113" s="12"/>
      <c r="I113" s="22" t="str">
        <f t="shared" si="17"/>
        <v>0</v>
      </c>
      <c r="J113" s="13">
        <f t="shared" si="18"/>
        <v>0</v>
      </c>
      <c r="K113" s="13" t="e">
        <f t="shared" si="19"/>
        <v>#DIV/0!</v>
      </c>
      <c r="L113" s="14" t="str">
        <f t="shared" si="14"/>
        <v>Normal</v>
      </c>
      <c r="M113" s="14" t="str">
        <f t="shared" si="15"/>
        <v>Normal</v>
      </c>
      <c r="N113" s="14" t="str">
        <f t="shared" si="16"/>
        <v>No</v>
      </c>
    </row>
    <row r="114" spans="1:14" x14ac:dyDescent="0.25">
      <c r="A114" s="9">
        <v>43622</v>
      </c>
      <c r="B114" s="10">
        <v>2019</v>
      </c>
      <c r="C114" s="11">
        <v>725</v>
      </c>
      <c r="D114" s="11">
        <v>725</v>
      </c>
      <c r="E114" s="11">
        <v>725</v>
      </c>
      <c r="F114" s="11">
        <v>725</v>
      </c>
      <c r="G114" s="11">
        <v>595.37</v>
      </c>
      <c r="H114" s="12"/>
      <c r="I114" s="22" t="str">
        <f t="shared" si="17"/>
        <v>0</v>
      </c>
      <c r="J114" s="13">
        <f t="shared" si="18"/>
        <v>0</v>
      </c>
      <c r="K114" s="13" t="e">
        <f t="shared" si="19"/>
        <v>#DIV/0!</v>
      </c>
      <c r="L114" s="14" t="str">
        <f t="shared" si="14"/>
        <v>Normal</v>
      </c>
      <c r="M114" s="14" t="str">
        <f t="shared" si="15"/>
        <v>Normal</v>
      </c>
      <c r="N114" s="14" t="str">
        <f t="shared" si="16"/>
        <v>No</v>
      </c>
    </row>
    <row r="115" spans="1:14" x14ac:dyDescent="0.25">
      <c r="A115" s="9">
        <v>43623</v>
      </c>
      <c r="B115" s="10">
        <v>2019</v>
      </c>
      <c r="C115" s="11">
        <v>725</v>
      </c>
      <c r="D115" s="11">
        <v>725</v>
      </c>
      <c r="E115" s="11">
        <v>725</v>
      </c>
      <c r="F115" s="11">
        <v>725</v>
      </c>
      <c r="G115" s="11">
        <v>595.37</v>
      </c>
      <c r="H115" s="12"/>
      <c r="I115" s="22" t="str">
        <f t="shared" si="17"/>
        <v>0</v>
      </c>
      <c r="J115" s="13">
        <f t="shared" si="18"/>
        <v>0</v>
      </c>
      <c r="K115" s="13" t="e">
        <f t="shared" si="19"/>
        <v>#DIV/0!</v>
      </c>
      <c r="L115" s="14" t="str">
        <f t="shared" si="14"/>
        <v>Normal</v>
      </c>
      <c r="M115" s="14" t="str">
        <f t="shared" si="15"/>
        <v>Normal</v>
      </c>
      <c r="N115" s="14" t="str">
        <f t="shared" si="16"/>
        <v>No</v>
      </c>
    </row>
    <row r="116" spans="1:14" x14ac:dyDescent="0.25">
      <c r="A116" s="9">
        <v>43626</v>
      </c>
      <c r="B116" s="10">
        <v>2019</v>
      </c>
      <c r="C116" s="11">
        <v>730</v>
      </c>
      <c r="D116" s="11">
        <v>800</v>
      </c>
      <c r="E116" s="11">
        <v>730</v>
      </c>
      <c r="F116" s="11">
        <v>780</v>
      </c>
      <c r="G116" s="11">
        <v>640.54</v>
      </c>
      <c r="H116" s="12">
        <v>172262900</v>
      </c>
      <c r="I116" s="22" t="str">
        <f t="shared" si="17"/>
        <v>+</v>
      </c>
      <c r="J116" s="13">
        <f t="shared" si="18"/>
        <v>7.5862068965517242</v>
      </c>
      <c r="K116" s="13" t="e">
        <f t="shared" si="19"/>
        <v>#DIV/0!</v>
      </c>
      <c r="L116" s="14" t="str">
        <f t="shared" si="14"/>
        <v>Sharp Price Increase</v>
      </c>
      <c r="M116" s="14" t="str">
        <f t="shared" si="15"/>
        <v>Normal</v>
      </c>
      <c r="N116" s="14" t="str">
        <f t="shared" si="16"/>
        <v>No</v>
      </c>
    </row>
    <row r="117" spans="1:14" x14ac:dyDescent="0.25">
      <c r="A117" s="9">
        <v>43627</v>
      </c>
      <c r="B117" s="10">
        <v>2019</v>
      </c>
      <c r="C117" s="11">
        <v>785</v>
      </c>
      <c r="D117" s="11">
        <v>815</v>
      </c>
      <c r="E117" s="11">
        <v>770</v>
      </c>
      <c r="F117" s="11">
        <v>795</v>
      </c>
      <c r="G117" s="11">
        <v>652.86</v>
      </c>
      <c r="H117" s="12">
        <v>116959700</v>
      </c>
      <c r="I117" s="22" t="str">
        <f t="shared" si="17"/>
        <v>+</v>
      </c>
      <c r="J117" s="13">
        <f t="shared" si="18"/>
        <v>1.9230769230769231</v>
      </c>
      <c r="K117" s="13">
        <f t="shared" si="19"/>
        <v>-32.103952737356678</v>
      </c>
      <c r="L117" s="14" t="str">
        <f t="shared" si="14"/>
        <v>Normal</v>
      </c>
      <c r="M117" s="14" t="str">
        <f t="shared" si="15"/>
        <v>Normal</v>
      </c>
      <c r="N117" s="14" t="str">
        <f t="shared" si="16"/>
        <v>No</v>
      </c>
    </row>
    <row r="118" spans="1:14" x14ac:dyDescent="0.25">
      <c r="A118" s="9">
        <v>43628</v>
      </c>
      <c r="B118" s="10">
        <v>2019</v>
      </c>
      <c r="C118" s="11">
        <v>795</v>
      </c>
      <c r="D118" s="11">
        <v>810</v>
      </c>
      <c r="E118" s="11">
        <v>780</v>
      </c>
      <c r="F118" s="11">
        <v>785</v>
      </c>
      <c r="G118" s="11">
        <v>644.65</v>
      </c>
      <c r="H118" s="12">
        <v>54716300</v>
      </c>
      <c r="I118" s="22" t="str">
        <f t="shared" si="17"/>
        <v>-</v>
      </c>
      <c r="J118" s="13">
        <f t="shared" si="18"/>
        <v>-1.257861635220126</v>
      </c>
      <c r="K118" s="13">
        <f t="shared" si="19"/>
        <v>-53.217817761160468</v>
      </c>
      <c r="L118" s="14" t="str">
        <f t="shared" si="14"/>
        <v>Normal</v>
      </c>
      <c r="M118" s="14" t="str">
        <f t="shared" si="15"/>
        <v>Normal</v>
      </c>
      <c r="N118" s="14" t="str">
        <f t="shared" si="16"/>
        <v>No</v>
      </c>
    </row>
    <row r="119" spans="1:14" x14ac:dyDescent="0.25">
      <c r="A119" s="9">
        <v>43629</v>
      </c>
      <c r="B119" s="10">
        <v>2019</v>
      </c>
      <c r="C119" s="11">
        <v>785</v>
      </c>
      <c r="D119" s="11">
        <v>790</v>
      </c>
      <c r="E119" s="11">
        <v>765</v>
      </c>
      <c r="F119" s="11">
        <v>780</v>
      </c>
      <c r="G119" s="11">
        <v>640.54</v>
      </c>
      <c r="H119" s="12">
        <v>41048700</v>
      </c>
      <c r="I119" s="22" t="str">
        <f t="shared" si="17"/>
        <v>-</v>
      </c>
      <c r="J119" s="13">
        <f t="shared" si="18"/>
        <v>-0.63694267515923575</v>
      </c>
      <c r="K119" s="13">
        <f t="shared" si="19"/>
        <v>-24.97902818721295</v>
      </c>
      <c r="L119" s="14" t="str">
        <f t="shared" si="14"/>
        <v>Normal</v>
      </c>
      <c r="M119" s="14" t="str">
        <f t="shared" si="15"/>
        <v>Normal</v>
      </c>
      <c r="N119" s="14" t="str">
        <f t="shared" si="16"/>
        <v>No</v>
      </c>
    </row>
    <row r="120" spans="1:14" x14ac:dyDescent="0.25">
      <c r="A120" s="9">
        <v>43630</v>
      </c>
      <c r="B120" s="10">
        <v>2019</v>
      </c>
      <c r="C120" s="11">
        <v>785</v>
      </c>
      <c r="D120" s="11">
        <v>795</v>
      </c>
      <c r="E120" s="11">
        <v>775</v>
      </c>
      <c r="F120" s="11">
        <v>790</v>
      </c>
      <c r="G120" s="11">
        <v>648.75</v>
      </c>
      <c r="H120" s="12">
        <v>51605300</v>
      </c>
      <c r="I120" s="22" t="str">
        <f t="shared" si="17"/>
        <v>+</v>
      </c>
      <c r="J120" s="13">
        <f t="shared" si="18"/>
        <v>1.2820512820512819</v>
      </c>
      <c r="K120" s="13">
        <f t="shared" si="19"/>
        <v>25.717257793791276</v>
      </c>
      <c r="L120" s="14" t="str">
        <f t="shared" si="14"/>
        <v>Normal</v>
      </c>
      <c r="M120" s="14" t="str">
        <f t="shared" si="15"/>
        <v>Normal</v>
      </c>
      <c r="N120" s="14" t="str">
        <f t="shared" si="16"/>
        <v>No</v>
      </c>
    </row>
    <row r="121" spans="1:14" x14ac:dyDescent="0.25">
      <c r="A121" s="9">
        <v>43633</v>
      </c>
      <c r="B121" s="10">
        <v>2019</v>
      </c>
      <c r="C121" s="11">
        <v>800</v>
      </c>
      <c r="D121" s="11">
        <v>805</v>
      </c>
      <c r="E121" s="11">
        <v>760</v>
      </c>
      <c r="F121" s="11">
        <v>765</v>
      </c>
      <c r="G121" s="11">
        <v>628.22</v>
      </c>
      <c r="H121" s="12">
        <v>46657900</v>
      </c>
      <c r="I121" s="22" t="str">
        <f t="shared" si="17"/>
        <v>-</v>
      </c>
      <c r="J121" s="13">
        <f t="shared" si="18"/>
        <v>-3.1645569620253164</v>
      </c>
      <c r="K121" s="13">
        <f t="shared" si="19"/>
        <v>-9.5869997849058137</v>
      </c>
      <c r="L121" s="14" t="str">
        <f t="shared" si="14"/>
        <v>Normal</v>
      </c>
      <c r="M121" s="14" t="str">
        <f t="shared" si="15"/>
        <v>Normal</v>
      </c>
      <c r="N121" s="14" t="str">
        <f t="shared" si="16"/>
        <v>No</v>
      </c>
    </row>
    <row r="122" spans="1:14" x14ac:dyDescent="0.25">
      <c r="A122" s="9">
        <v>43634</v>
      </c>
      <c r="B122" s="10">
        <v>2019</v>
      </c>
      <c r="C122" s="11">
        <v>765</v>
      </c>
      <c r="D122" s="11">
        <v>780</v>
      </c>
      <c r="E122" s="11">
        <v>765</v>
      </c>
      <c r="F122" s="11">
        <v>775</v>
      </c>
      <c r="G122" s="11">
        <v>636.42999999999995</v>
      </c>
      <c r="H122" s="12">
        <v>24803000</v>
      </c>
      <c r="I122" s="22" t="str">
        <f t="shared" si="17"/>
        <v>+</v>
      </c>
      <c r="J122" s="13">
        <f t="shared" si="18"/>
        <v>1.3071895424836601</v>
      </c>
      <c r="K122" s="13">
        <f t="shared" si="19"/>
        <v>-46.840727936748117</v>
      </c>
      <c r="L122" s="14" t="str">
        <f t="shared" si="14"/>
        <v>Normal</v>
      </c>
      <c r="M122" s="14" t="str">
        <f t="shared" si="15"/>
        <v>Normal</v>
      </c>
      <c r="N122" s="14" t="str">
        <f t="shared" si="16"/>
        <v>No</v>
      </c>
    </row>
    <row r="123" spans="1:14" x14ac:dyDescent="0.25">
      <c r="A123" s="9">
        <v>43635</v>
      </c>
      <c r="B123" s="10">
        <v>2019</v>
      </c>
      <c r="C123" s="11">
        <v>790</v>
      </c>
      <c r="D123" s="11">
        <v>800</v>
      </c>
      <c r="E123" s="11">
        <v>785</v>
      </c>
      <c r="F123" s="11">
        <v>795</v>
      </c>
      <c r="G123" s="11">
        <v>652.86</v>
      </c>
      <c r="H123" s="12">
        <v>48304200</v>
      </c>
      <c r="I123" s="22" t="str">
        <f t="shared" si="17"/>
        <v>+</v>
      </c>
      <c r="J123" s="13">
        <f t="shared" si="18"/>
        <v>2.5806451612903225</v>
      </c>
      <c r="K123" s="13">
        <f t="shared" si="19"/>
        <v>94.751441357900262</v>
      </c>
      <c r="L123" s="14" t="str">
        <f t="shared" si="14"/>
        <v>Normal</v>
      </c>
      <c r="M123" s="14" t="str">
        <f t="shared" si="15"/>
        <v>Normal</v>
      </c>
      <c r="N123" s="14" t="str">
        <f t="shared" si="16"/>
        <v>No</v>
      </c>
    </row>
    <row r="124" spans="1:14" x14ac:dyDescent="0.25">
      <c r="A124" s="9">
        <v>43636</v>
      </c>
      <c r="B124" s="10">
        <v>2019</v>
      </c>
      <c r="C124" s="11">
        <v>810</v>
      </c>
      <c r="D124" s="11">
        <v>825</v>
      </c>
      <c r="E124" s="11">
        <v>800</v>
      </c>
      <c r="F124" s="11">
        <v>805</v>
      </c>
      <c r="G124" s="11">
        <v>661.07</v>
      </c>
      <c r="H124" s="12">
        <v>91642200</v>
      </c>
      <c r="I124" s="22" t="str">
        <f t="shared" si="17"/>
        <v>+</v>
      </c>
      <c r="J124" s="13">
        <f t="shared" si="18"/>
        <v>1.257861635220126</v>
      </c>
      <c r="K124" s="13">
        <f t="shared" si="19"/>
        <v>89.71890643049673</v>
      </c>
      <c r="L124" s="14" t="str">
        <f t="shared" si="14"/>
        <v>Normal</v>
      </c>
      <c r="M124" s="14" t="str">
        <f t="shared" si="15"/>
        <v>Normal</v>
      </c>
      <c r="N124" s="14" t="str">
        <f t="shared" si="16"/>
        <v>No</v>
      </c>
    </row>
    <row r="125" spans="1:14" x14ac:dyDescent="0.25">
      <c r="A125" s="9">
        <v>43637</v>
      </c>
      <c r="B125" s="10">
        <v>2019</v>
      </c>
      <c r="C125" s="11">
        <v>815</v>
      </c>
      <c r="D125" s="11">
        <v>820</v>
      </c>
      <c r="E125" s="11">
        <v>785</v>
      </c>
      <c r="F125" s="11">
        <v>800</v>
      </c>
      <c r="G125" s="11">
        <v>656.96</v>
      </c>
      <c r="H125" s="12">
        <v>82014000</v>
      </c>
      <c r="I125" s="22" t="str">
        <f t="shared" si="17"/>
        <v>-</v>
      </c>
      <c r="J125" s="13">
        <f t="shared" si="18"/>
        <v>-0.6211180124223602</v>
      </c>
      <c r="K125" s="13">
        <f t="shared" si="19"/>
        <v>-10.506295134774154</v>
      </c>
      <c r="L125" s="14" t="str">
        <f t="shared" si="14"/>
        <v>Normal</v>
      </c>
      <c r="M125" s="14" t="str">
        <f t="shared" si="15"/>
        <v>Normal</v>
      </c>
      <c r="N125" s="14" t="str">
        <f t="shared" si="16"/>
        <v>No</v>
      </c>
    </row>
    <row r="126" spans="1:14" x14ac:dyDescent="0.25">
      <c r="A126" s="9">
        <v>43640</v>
      </c>
      <c r="B126" s="10">
        <v>2019</v>
      </c>
      <c r="C126" s="11">
        <v>805</v>
      </c>
      <c r="D126" s="11">
        <v>815</v>
      </c>
      <c r="E126" s="11">
        <v>795</v>
      </c>
      <c r="F126" s="11">
        <v>795</v>
      </c>
      <c r="G126" s="11">
        <v>652.86</v>
      </c>
      <c r="H126" s="12">
        <v>37223500</v>
      </c>
      <c r="I126" s="22" t="str">
        <f t="shared" si="17"/>
        <v>-</v>
      </c>
      <c r="J126" s="13">
        <f t="shared" si="18"/>
        <v>-0.625</v>
      </c>
      <c r="K126" s="13">
        <f t="shared" si="19"/>
        <v>-54.613236764454854</v>
      </c>
      <c r="L126" s="14" t="str">
        <f t="shared" si="14"/>
        <v>Normal</v>
      </c>
      <c r="M126" s="14" t="str">
        <f t="shared" si="15"/>
        <v>Normal</v>
      </c>
      <c r="N126" s="14" t="str">
        <f t="shared" si="16"/>
        <v>No</v>
      </c>
    </row>
    <row r="127" spans="1:14" x14ac:dyDescent="0.25">
      <c r="A127" s="9">
        <v>43641</v>
      </c>
      <c r="B127" s="10">
        <v>2019</v>
      </c>
      <c r="C127" s="11">
        <v>805</v>
      </c>
      <c r="D127" s="11">
        <v>850</v>
      </c>
      <c r="E127" s="11">
        <v>795</v>
      </c>
      <c r="F127" s="11">
        <v>845</v>
      </c>
      <c r="G127" s="11">
        <v>693.92</v>
      </c>
      <c r="H127" s="12">
        <v>242773400</v>
      </c>
      <c r="I127" s="22" t="str">
        <f t="shared" si="17"/>
        <v>+</v>
      </c>
      <c r="J127" s="13">
        <f t="shared" si="18"/>
        <v>6.2893081761006293</v>
      </c>
      <c r="K127" s="13">
        <f t="shared" si="19"/>
        <v>552.2046556610743</v>
      </c>
      <c r="L127" s="14" t="str">
        <f t="shared" si="14"/>
        <v>Sharp Price Increase</v>
      </c>
      <c r="M127" s="14" t="str">
        <f t="shared" si="15"/>
        <v>Sharp Volume Increase</v>
      </c>
      <c r="N127" s="14" t="str">
        <f t="shared" si="16"/>
        <v>Yes</v>
      </c>
    </row>
    <row r="128" spans="1:14" x14ac:dyDescent="0.25">
      <c r="A128" s="9">
        <v>43642</v>
      </c>
      <c r="B128" s="10">
        <v>2019</v>
      </c>
      <c r="C128" s="11">
        <v>845</v>
      </c>
      <c r="D128" s="11">
        <v>850</v>
      </c>
      <c r="E128" s="11">
        <v>820</v>
      </c>
      <c r="F128" s="11">
        <v>825</v>
      </c>
      <c r="G128" s="11">
        <v>677.5</v>
      </c>
      <c r="H128" s="12">
        <v>105044300</v>
      </c>
      <c r="I128" s="22" t="str">
        <f t="shared" si="17"/>
        <v>-</v>
      </c>
      <c r="J128" s="13">
        <f t="shared" si="18"/>
        <v>-2.3668639053254439</v>
      </c>
      <c r="K128" s="13">
        <f t="shared" si="19"/>
        <v>-56.731544724422037</v>
      </c>
      <c r="L128" s="14" t="str">
        <f t="shared" si="14"/>
        <v>Normal</v>
      </c>
      <c r="M128" s="14" t="str">
        <f t="shared" si="15"/>
        <v>Normal</v>
      </c>
      <c r="N128" s="14" t="str">
        <f t="shared" si="16"/>
        <v>No</v>
      </c>
    </row>
    <row r="129" spans="1:14" x14ac:dyDescent="0.25">
      <c r="A129" s="9">
        <v>43643</v>
      </c>
      <c r="B129" s="10">
        <v>2019</v>
      </c>
      <c r="C129" s="11">
        <v>830</v>
      </c>
      <c r="D129" s="11">
        <v>845</v>
      </c>
      <c r="E129" s="11">
        <v>820</v>
      </c>
      <c r="F129" s="11">
        <v>830</v>
      </c>
      <c r="G129" s="11">
        <v>681.6</v>
      </c>
      <c r="H129" s="12">
        <v>64619500</v>
      </c>
      <c r="I129" s="22" t="str">
        <f t="shared" si="17"/>
        <v>+</v>
      </c>
      <c r="J129" s="13">
        <f t="shared" si="18"/>
        <v>0.60606060606060608</v>
      </c>
      <c r="K129" s="13">
        <f t="shared" si="19"/>
        <v>-38.48357312105464</v>
      </c>
      <c r="L129" s="14" t="str">
        <f t="shared" si="14"/>
        <v>Normal</v>
      </c>
      <c r="M129" s="14" t="str">
        <f t="shared" si="15"/>
        <v>Normal</v>
      </c>
      <c r="N129" s="14" t="str">
        <f t="shared" si="16"/>
        <v>No</v>
      </c>
    </row>
    <row r="130" spans="1:14" x14ac:dyDescent="0.25">
      <c r="A130" s="9">
        <v>43644</v>
      </c>
      <c r="B130" s="10">
        <v>2019</v>
      </c>
      <c r="C130" s="11">
        <v>840</v>
      </c>
      <c r="D130" s="11">
        <v>860</v>
      </c>
      <c r="E130" s="11">
        <v>830</v>
      </c>
      <c r="F130" s="11">
        <v>845</v>
      </c>
      <c r="G130" s="11">
        <v>693.92</v>
      </c>
      <c r="H130" s="12">
        <v>131205700</v>
      </c>
      <c r="I130" s="22" t="str">
        <f t="shared" si="17"/>
        <v>+</v>
      </c>
      <c r="J130" s="13">
        <f t="shared" si="18"/>
        <v>1.8072289156626504</v>
      </c>
      <c r="K130" s="13">
        <f t="shared" si="19"/>
        <v>103.04350853844429</v>
      </c>
      <c r="L130" s="14" t="str">
        <f t="shared" si="14"/>
        <v>Normal</v>
      </c>
      <c r="M130" s="14" t="str">
        <f t="shared" si="15"/>
        <v>Normal</v>
      </c>
      <c r="N130" s="14" t="str">
        <f t="shared" si="16"/>
        <v>No</v>
      </c>
    </row>
    <row r="131" spans="1:14" x14ac:dyDescent="0.25">
      <c r="A131" s="9">
        <v>43647</v>
      </c>
      <c r="B131" s="10">
        <v>2019</v>
      </c>
      <c r="C131" s="11">
        <v>850</v>
      </c>
      <c r="D131" s="11">
        <v>865</v>
      </c>
      <c r="E131" s="11">
        <v>840</v>
      </c>
      <c r="F131" s="11">
        <v>850</v>
      </c>
      <c r="G131" s="11">
        <v>698.03</v>
      </c>
      <c r="H131" s="12">
        <v>112441000</v>
      </c>
      <c r="I131" s="22" t="str">
        <f t="shared" si="17"/>
        <v>+</v>
      </c>
      <c r="J131" s="13">
        <f t="shared" si="18"/>
        <v>0.59171597633136097</v>
      </c>
      <c r="K131" s="13">
        <f t="shared" si="19"/>
        <v>-14.301741463976031</v>
      </c>
      <c r="L131" s="14" t="str">
        <f t="shared" ref="L131:L194" si="20">IFERROR(IF(OR(J131="",ISBLANK(J131)),"Normal",IF(J131&lt;=$U$6,"Sharp Price Decrease",IF(J131&gt;=$U$7,"Sharp Price Increase","Normal"))),"Normal")</f>
        <v>Normal</v>
      </c>
      <c r="M131" s="14" t="str">
        <f t="shared" ref="M131:M194" si="21">IFERROR(IF(OR(K131="",ISBLANK(K131)),"Normal",IF(K131&lt;=$U$8,"Sharp Volume Decrease",IF(K131&gt;=$U$9,"Sharp Volume Increase","Normal"))),"Normal")</f>
        <v>Normal</v>
      </c>
      <c r="N131" s="14" t="str">
        <f t="shared" ref="N131:N194" si="22">IFERROR(IF(AND(OR(L131="Sharp Price Increase",L131="Sharp Price Decrease"),OR(M131="Sharp Volume Increase",M131="Sharp Volume Decrease")),"Yes","No"),"No")</f>
        <v>No</v>
      </c>
    </row>
    <row r="132" spans="1:14" x14ac:dyDescent="0.25">
      <c r="A132" s="9">
        <v>43648</v>
      </c>
      <c r="B132" s="10">
        <v>2019</v>
      </c>
      <c r="C132" s="11">
        <v>845</v>
      </c>
      <c r="D132" s="11">
        <v>850</v>
      </c>
      <c r="E132" s="11">
        <v>835</v>
      </c>
      <c r="F132" s="11">
        <v>840</v>
      </c>
      <c r="G132" s="11">
        <v>689.81</v>
      </c>
      <c r="H132" s="12">
        <v>34077600</v>
      </c>
      <c r="I132" s="22" t="str">
        <f t="shared" ref="I132:I195" si="23">IFERROR(IF(OR(F131="",F132=""),"",IF(F132-F131&lt;0,"-",IF(F132-F131&gt;0,"+","0"))),"")</f>
        <v>-</v>
      </c>
      <c r="J132" s="13">
        <f t="shared" ref="J132:J195" si="24">(F132-F131)/F131*100</f>
        <v>-1.1764705882352942</v>
      </c>
      <c r="K132" s="13">
        <f t="shared" ref="K132:K195" si="25">(H132-H131)/H131*100</f>
        <v>-69.692905612721333</v>
      </c>
      <c r="L132" s="14" t="str">
        <f t="shared" si="20"/>
        <v>Normal</v>
      </c>
      <c r="M132" s="14" t="str">
        <f t="shared" si="21"/>
        <v>Sharp Volume Decrease</v>
      </c>
      <c r="N132" s="14" t="str">
        <f t="shared" si="22"/>
        <v>No</v>
      </c>
    </row>
    <row r="133" spans="1:14" x14ac:dyDescent="0.25">
      <c r="A133" s="9">
        <v>43649</v>
      </c>
      <c r="B133" s="10">
        <v>2019</v>
      </c>
      <c r="C133" s="11">
        <v>845</v>
      </c>
      <c r="D133" s="11">
        <v>850</v>
      </c>
      <c r="E133" s="11">
        <v>810</v>
      </c>
      <c r="F133" s="11">
        <v>815</v>
      </c>
      <c r="G133" s="11">
        <v>669.28</v>
      </c>
      <c r="H133" s="12">
        <v>82796400</v>
      </c>
      <c r="I133" s="22" t="str">
        <f t="shared" si="23"/>
        <v>-</v>
      </c>
      <c r="J133" s="13">
        <f t="shared" si="24"/>
        <v>-2.9761904761904758</v>
      </c>
      <c r="K133" s="13">
        <f t="shared" si="25"/>
        <v>142.96429326008874</v>
      </c>
      <c r="L133" s="14" t="str">
        <f t="shared" si="20"/>
        <v>Normal</v>
      </c>
      <c r="M133" s="14" t="str">
        <f t="shared" si="21"/>
        <v>Normal</v>
      </c>
      <c r="N133" s="14" t="str">
        <f t="shared" si="22"/>
        <v>No</v>
      </c>
    </row>
    <row r="134" spans="1:14" x14ac:dyDescent="0.25">
      <c r="A134" s="9">
        <v>43650</v>
      </c>
      <c r="B134" s="10">
        <v>2019</v>
      </c>
      <c r="C134" s="11">
        <v>825</v>
      </c>
      <c r="D134" s="11">
        <v>830</v>
      </c>
      <c r="E134" s="11">
        <v>815</v>
      </c>
      <c r="F134" s="11">
        <v>820</v>
      </c>
      <c r="G134" s="11">
        <v>673.39</v>
      </c>
      <c r="H134" s="12">
        <v>42211300</v>
      </c>
      <c r="I134" s="22" t="str">
        <f t="shared" si="23"/>
        <v>+</v>
      </c>
      <c r="J134" s="13">
        <f t="shared" si="24"/>
        <v>0.61349693251533743</v>
      </c>
      <c r="K134" s="13">
        <f t="shared" si="25"/>
        <v>-49.017952471363493</v>
      </c>
      <c r="L134" s="14" t="str">
        <f t="shared" si="20"/>
        <v>Normal</v>
      </c>
      <c r="M134" s="14" t="str">
        <f t="shared" si="21"/>
        <v>Normal</v>
      </c>
      <c r="N134" s="14" t="str">
        <f t="shared" si="22"/>
        <v>No</v>
      </c>
    </row>
    <row r="135" spans="1:14" x14ac:dyDescent="0.25">
      <c r="A135" s="9">
        <v>43651</v>
      </c>
      <c r="B135" s="10">
        <v>2019</v>
      </c>
      <c r="C135" s="11">
        <v>820</v>
      </c>
      <c r="D135" s="11">
        <v>825</v>
      </c>
      <c r="E135" s="11">
        <v>810</v>
      </c>
      <c r="F135" s="11">
        <v>810</v>
      </c>
      <c r="G135" s="11">
        <v>665.18</v>
      </c>
      <c r="H135" s="12">
        <v>27266000</v>
      </c>
      <c r="I135" s="22" t="str">
        <f t="shared" si="23"/>
        <v>-</v>
      </c>
      <c r="J135" s="13">
        <f t="shared" si="24"/>
        <v>-1.2195121951219512</v>
      </c>
      <c r="K135" s="13">
        <f t="shared" si="25"/>
        <v>-35.405922110903951</v>
      </c>
      <c r="L135" s="14" t="str">
        <f t="shared" si="20"/>
        <v>Normal</v>
      </c>
      <c r="M135" s="14" t="str">
        <f t="shared" si="21"/>
        <v>Normal</v>
      </c>
      <c r="N135" s="14" t="str">
        <f t="shared" si="22"/>
        <v>No</v>
      </c>
    </row>
    <row r="136" spans="1:14" x14ac:dyDescent="0.25">
      <c r="A136" s="9">
        <v>43654</v>
      </c>
      <c r="B136" s="10">
        <v>2019</v>
      </c>
      <c r="C136" s="11">
        <v>810</v>
      </c>
      <c r="D136" s="11">
        <v>835</v>
      </c>
      <c r="E136" s="11">
        <v>800</v>
      </c>
      <c r="F136" s="11">
        <v>825</v>
      </c>
      <c r="G136" s="11">
        <v>677.5</v>
      </c>
      <c r="H136" s="12">
        <v>47875600</v>
      </c>
      <c r="I136" s="22" t="str">
        <f t="shared" si="23"/>
        <v>+</v>
      </c>
      <c r="J136" s="13">
        <f t="shared" si="24"/>
        <v>1.8518518518518516</v>
      </c>
      <c r="K136" s="13">
        <f t="shared" si="25"/>
        <v>75.587178170615417</v>
      </c>
      <c r="L136" s="14" t="str">
        <f t="shared" si="20"/>
        <v>Normal</v>
      </c>
      <c r="M136" s="14" t="str">
        <f t="shared" si="21"/>
        <v>Normal</v>
      </c>
      <c r="N136" s="14" t="str">
        <f t="shared" si="22"/>
        <v>No</v>
      </c>
    </row>
    <row r="137" spans="1:14" x14ac:dyDescent="0.25">
      <c r="A137" s="9">
        <v>43655</v>
      </c>
      <c r="B137" s="10">
        <v>2019</v>
      </c>
      <c r="C137" s="11">
        <v>825</v>
      </c>
      <c r="D137" s="11">
        <v>840</v>
      </c>
      <c r="E137" s="11">
        <v>825</v>
      </c>
      <c r="F137" s="11">
        <v>825</v>
      </c>
      <c r="G137" s="11">
        <v>677.5</v>
      </c>
      <c r="H137" s="12">
        <v>49279300</v>
      </c>
      <c r="I137" s="22" t="str">
        <f t="shared" si="23"/>
        <v>0</v>
      </c>
      <c r="J137" s="13">
        <f t="shared" si="24"/>
        <v>0</v>
      </c>
      <c r="K137" s="13">
        <f t="shared" si="25"/>
        <v>2.9319736985019511</v>
      </c>
      <c r="L137" s="14" t="str">
        <f t="shared" si="20"/>
        <v>Normal</v>
      </c>
      <c r="M137" s="14" t="str">
        <f t="shared" si="21"/>
        <v>Normal</v>
      </c>
      <c r="N137" s="14" t="str">
        <f t="shared" si="22"/>
        <v>No</v>
      </c>
    </row>
    <row r="138" spans="1:14" x14ac:dyDescent="0.25">
      <c r="A138" s="9">
        <v>43656</v>
      </c>
      <c r="B138" s="10">
        <v>2019</v>
      </c>
      <c r="C138" s="11">
        <v>830</v>
      </c>
      <c r="D138" s="11">
        <v>840</v>
      </c>
      <c r="E138" s="11">
        <v>815</v>
      </c>
      <c r="F138" s="11">
        <v>820</v>
      </c>
      <c r="G138" s="11">
        <v>673.39</v>
      </c>
      <c r="H138" s="12">
        <v>33570400</v>
      </c>
      <c r="I138" s="22" t="str">
        <f t="shared" si="23"/>
        <v>-</v>
      </c>
      <c r="J138" s="13">
        <f t="shared" si="24"/>
        <v>-0.60606060606060608</v>
      </c>
      <c r="K138" s="13">
        <f t="shared" si="25"/>
        <v>-31.877279100961253</v>
      </c>
      <c r="L138" s="14" t="str">
        <f t="shared" si="20"/>
        <v>Normal</v>
      </c>
      <c r="M138" s="14" t="str">
        <f t="shared" si="21"/>
        <v>Normal</v>
      </c>
      <c r="N138" s="14" t="str">
        <f t="shared" si="22"/>
        <v>No</v>
      </c>
    </row>
    <row r="139" spans="1:14" x14ac:dyDescent="0.25">
      <c r="A139" s="9">
        <v>43657</v>
      </c>
      <c r="B139" s="10">
        <v>2019</v>
      </c>
      <c r="C139" s="11">
        <v>835</v>
      </c>
      <c r="D139" s="11">
        <v>855</v>
      </c>
      <c r="E139" s="11">
        <v>825</v>
      </c>
      <c r="F139" s="11">
        <v>850</v>
      </c>
      <c r="G139" s="11">
        <v>698.03</v>
      </c>
      <c r="H139" s="12">
        <v>114504000</v>
      </c>
      <c r="I139" s="22" t="str">
        <f t="shared" si="23"/>
        <v>+</v>
      </c>
      <c r="J139" s="13">
        <f t="shared" si="24"/>
        <v>3.6585365853658534</v>
      </c>
      <c r="K139" s="13">
        <f t="shared" si="25"/>
        <v>241.08619498129303</v>
      </c>
      <c r="L139" s="14" t="str">
        <f t="shared" si="20"/>
        <v>Normal</v>
      </c>
      <c r="M139" s="14" t="str">
        <f t="shared" si="21"/>
        <v>Sharp Volume Increase</v>
      </c>
      <c r="N139" s="14" t="str">
        <f t="shared" si="22"/>
        <v>No</v>
      </c>
    </row>
    <row r="140" spans="1:14" x14ac:dyDescent="0.25">
      <c r="A140" s="9">
        <v>43658</v>
      </c>
      <c r="B140" s="10">
        <v>2019</v>
      </c>
      <c r="C140" s="11">
        <v>850</v>
      </c>
      <c r="D140" s="11">
        <v>855</v>
      </c>
      <c r="E140" s="11">
        <v>835</v>
      </c>
      <c r="F140" s="11">
        <v>845</v>
      </c>
      <c r="G140" s="11">
        <v>693.92</v>
      </c>
      <c r="H140" s="12">
        <v>54953400</v>
      </c>
      <c r="I140" s="22" t="str">
        <f t="shared" si="23"/>
        <v>-</v>
      </c>
      <c r="J140" s="13">
        <f t="shared" si="24"/>
        <v>-0.58823529411764708</v>
      </c>
      <c r="K140" s="13">
        <f t="shared" si="25"/>
        <v>-52.00744078809474</v>
      </c>
      <c r="L140" s="14" t="str">
        <f t="shared" si="20"/>
        <v>Normal</v>
      </c>
      <c r="M140" s="14" t="str">
        <f t="shared" si="21"/>
        <v>Normal</v>
      </c>
      <c r="N140" s="14" t="str">
        <f t="shared" si="22"/>
        <v>No</v>
      </c>
    </row>
    <row r="141" spans="1:14" x14ac:dyDescent="0.25">
      <c r="A141" s="9">
        <v>43661</v>
      </c>
      <c r="B141" s="10">
        <v>2019</v>
      </c>
      <c r="C141" s="11">
        <v>855</v>
      </c>
      <c r="D141" s="11">
        <v>885</v>
      </c>
      <c r="E141" s="11">
        <v>855</v>
      </c>
      <c r="F141" s="11">
        <v>880</v>
      </c>
      <c r="G141" s="11">
        <v>722.66</v>
      </c>
      <c r="H141" s="12">
        <v>192125200</v>
      </c>
      <c r="I141" s="22" t="str">
        <f t="shared" si="23"/>
        <v>+</v>
      </c>
      <c r="J141" s="13">
        <f t="shared" si="24"/>
        <v>4.1420118343195274</v>
      </c>
      <c r="K141" s="13">
        <f t="shared" si="25"/>
        <v>249.61476450956627</v>
      </c>
      <c r="L141" s="14" t="str">
        <f t="shared" si="20"/>
        <v>Normal</v>
      </c>
      <c r="M141" s="14" t="str">
        <f t="shared" si="21"/>
        <v>Sharp Volume Increase</v>
      </c>
      <c r="N141" s="14" t="str">
        <f t="shared" si="22"/>
        <v>No</v>
      </c>
    </row>
    <row r="142" spans="1:14" x14ac:dyDescent="0.25">
      <c r="A142" s="9">
        <v>43662</v>
      </c>
      <c r="B142" s="10">
        <v>2019</v>
      </c>
      <c r="C142" s="11">
        <v>885</v>
      </c>
      <c r="D142" s="11">
        <v>905</v>
      </c>
      <c r="E142" s="11">
        <v>875</v>
      </c>
      <c r="F142" s="11">
        <v>895</v>
      </c>
      <c r="G142" s="11">
        <v>734.98</v>
      </c>
      <c r="H142" s="12">
        <v>141194200</v>
      </c>
      <c r="I142" s="22" t="str">
        <f t="shared" si="23"/>
        <v>+</v>
      </c>
      <c r="J142" s="13">
        <f t="shared" si="24"/>
        <v>1.7045454545454544</v>
      </c>
      <c r="K142" s="13">
        <f t="shared" si="25"/>
        <v>-26.509276242783354</v>
      </c>
      <c r="L142" s="14" t="str">
        <f t="shared" si="20"/>
        <v>Normal</v>
      </c>
      <c r="M142" s="14" t="str">
        <f t="shared" si="21"/>
        <v>Normal</v>
      </c>
      <c r="N142" s="14" t="str">
        <f t="shared" si="22"/>
        <v>No</v>
      </c>
    </row>
    <row r="143" spans="1:14" x14ac:dyDescent="0.25">
      <c r="A143" s="9">
        <v>43663</v>
      </c>
      <c r="B143" s="10">
        <v>2019</v>
      </c>
      <c r="C143" s="11">
        <v>900</v>
      </c>
      <c r="D143" s="11">
        <v>930</v>
      </c>
      <c r="E143" s="11">
        <v>885</v>
      </c>
      <c r="F143" s="11">
        <v>900</v>
      </c>
      <c r="G143" s="11">
        <v>739.09</v>
      </c>
      <c r="H143" s="12">
        <v>238303800</v>
      </c>
      <c r="I143" s="22" t="str">
        <f t="shared" si="23"/>
        <v>+</v>
      </c>
      <c r="J143" s="13">
        <f t="shared" si="24"/>
        <v>0.55865921787709494</v>
      </c>
      <c r="K143" s="13">
        <f t="shared" si="25"/>
        <v>68.777329380385311</v>
      </c>
      <c r="L143" s="14" t="str">
        <f t="shared" si="20"/>
        <v>Normal</v>
      </c>
      <c r="M143" s="14" t="str">
        <f t="shared" si="21"/>
        <v>Normal</v>
      </c>
      <c r="N143" s="14" t="str">
        <f t="shared" si="22"/>
        <v>No</v>
      </c>
    </row>
    <row r="144" spans="1:14" x14ac:dyDescent="0.25">
      <c r="A144" s="9">
        <v>43664</v>
      </c>
      <c r="B144" s="10">
        <v>2019</v>
      </c>
      <c r="C144" s="11">
        <v>920</v>
      </c>
      <c r="D144" s="11">
        <v>985</v>
      </c>
      <c r="E144" s="11">
        <v>920</v>
      </c>
      <c r="F144" s="11">
        <v>950</v>
      </c>
      <c r="G144" s="11">
        <v>780.15</v>
      </c>
      <c r="H144" s="12">
        <v>335413700</v>
      </c>
      <c r="I144" s="22" t="str">
        <f t="shared" si="23"/>
        <v>+</v>
      </c>
      <c r="J144" s="13">
        <f t="shared" si="24"/>
        <v>5.5555555555555554</v>
      </c>
      <c r="K144" s="13">
        <f t="shared" si="25"/>
        <v>40.750462225109288</v>
      </c>
      <c r="L144" s="14" t="str">
        <f t="shared" si="20"/>
        <v>Sharp Price Increase</v>
      </c>
      <c r="M144" s="14" t="str">
        <f t="shared" si="21"/>
        <v>Normal</v>
      </c>
      <c r="N144" s="14" t="str">
        <f t="shared" si="22"/>
        <v>No</v>
      </c>
    </row>
    <row r="145" spans="1:14" x14ac:dyDescent="0.25">
      <c r="A145" s="9">
        <v>43665</v>
      </c>
      <c r="B145" s="10">
        <v>2019</v>
      </c>
      <c r="C145" s="11">
        <v>970</v>
      </c>
      <c r="D145" s="11">
        <v>985</v>
      </c>
      <c r="E145" s="11">
        <v>935</v>
      </c>
      <c r="F145" s="11">
        <v>940</v>
      </c>
      <c r="G145" s="11">
        <v>771.93</v>
      </c>
      <c r="H145" s="12">
        <v>137797900</v>
      </c>
      <c r="I145" s="22" t="str">
        <f t="shared" si="23"/>
        <v>-</v>
      </c>
      <c r="J145" s="13">
        <f t="shared" si="24"/>
        <v>-1.0526315789473684</v>
      </c>
      <c r="K145" s="13">
        <f t="shared" si="25"/>
        <v>-58.917032905930796</v>
      </c>
      <c r="L145" s="14" t="str">
        <f t="shared" si="20"/>
        <v>Normal</v>
      </c>
      <c r="M145" s="14" t="str">
        <f t="shared" si="21"/>
        <v>Sharp Volume Decrease</v>
      </c>
      <c r="N145" s="14" t="str">
        <f t="shared" si="22"/>
        <v>No</v>
      </c>
    </row>
    <row r="146" spans="1:14" x14ac:dyDescent="0.25">
      <c r="A146" s="9">
        <v>43668</v>
      </c>
      <c r="B146" s="10">
        <v>2019</v>
      </c>
      <c r="C146" s="11">
        <v>940</v>
      </c>
      <c r="D146" s="11">
        <v>960</v>
      </c>
      <c r="E146" s="11">
        <v>915</v>
      </c>
      <c r="F146" s="11">
        <v>960</v>
      </c>
      <c r="G146" s="11">
        <v>788.36</v>
      </c>
      <c r="H146" s="12">
        <v>119839200</v>
      </c>
      <c r="I146" s="22" t="str">
        <f t="shared" si="23"/>
        <v>+</v>
      </c>
      <c r="J146" s="13">
        <f t="shared" si="24"/>
        <v>2.1276595744680851</v>
      </c>
      <c r="K146" s="13">
        <f t="shared" si="25"/>
        <v>-13.032636926977842</v>
      </c>
      <c r="L146" s="14" t="str">
        <f t="shared" si="20"/>
        <v>Normal</v>
      </c>
      <c r="M146" s="14" t="str">
        <f t="shared" si="21"/>
        <v>Normal</v>
      </c>
      <c r="N146" s="14" t="str">
        <f t="shared" si="22"/>
        <v>No</v>
      </c>
    </row>
    <row r="147" spans="1:14" x14ac:dyDescent="0.25">
      <c r="A147" s="9">
        <v>43669</v>
      </c>
      <c r="B147" s="10">
        <v>2019</v>
      </c>
      <c r="C147" s="11">
        <v>950</v>
      </c>
      <c r="D147" s="11">
        <v>970</v>
      </c>
      <c r="E147" s="11">
        <v>940</v>
      </c>
      <c r="F147" s="11">
        <v>940</v>
      </c>
      <c r="G147" s="11">
        <v>771.93</v>
      </c>
      <c r="H147" s="12">
        <v>82880700</v>
      </c>
      <c r="I147" s="22" t="str">
        <f t="shared" si="23"/>
        <v>-</v>
      </c>
      <c r="J147" s="13">
        <f t="shared" si="24"/>
        <v>-2.083333333333333</v>
      </c>
      <c r="K147" s="13">
        <f t="shared" si="25"/>
        <v>-30.840075701439929</v>
      </c>
      <c r="L147" s="14" t="str">
        <f t="shared" si="20"/>
        <v>Normal</v>
      </c>
      <c r="M147" s="14" t="str">
        <f t="shared" si="21"/>
        <v>Normal</v>
      </c>
      <c r="N147" s="14" t="str">
        <f t="shared" si="22"/>
        <v>No</v>
      </c>
    </row>
    <row r="148" spans="1:14" x14ac:dyDescent="0.25">
      <c r="A148" s="9">
        <v>43670</v>
      </c>
      <c r="B148" s="10">
        <v>2019</v>
      </c>
      <c r="C148" s="11">
        <v>940</v>
      </c>
      <c r="D148" s="11">
        <v>960</v>
      </c>
      <c r="E148" s="11">
        <v>935</v>
      </c>
      <c r="F148" s="11">
        <v>945</v>
      </c>
      <c r="G148" s="11">
        <v>776.04</v>
      </c>
      <c r="H148" s="12">
        <v>48601800</v>
      </c>
      <c r="I148" s="22" t="str">
        <f t="shared" si="23"/>
        <v>+</v>
      </c>
      <c r="J148" s="13">
        <f t="shared" si="24"/>
        <v>0.53191489361702127</v>
      </c>
      <c r="K148" s="13">
        <f t="shared" si="25"/>
        <v>-41.359327322283718</v>
      </c>
      <c r="L148" s="14" t="str">
        <f t="shared" si="20"/>
        <v>Normal</v>
      </c>
      <c r="M148" s="14" t="str">
        <f t="shared" si="21"/>
        <v>Normal</v>
      </c>
      <c r="N148" s="14" t="str">
        <f t="shared" si="22"/>
        <v>No</v>
      </c>
    </row>
    <row r="149" spans="1:14" x14ac:dyDescent="0.25">
      <c r="A149" s="9">
        <v>43671</v>
      </c>
      <c r="B149" s="10">
        <v>2019</v>
      </c>
      <c r="C149" s="11">
        <v>955</v>
      </c>
      <c r="D149" s="11">
        <v>965</v>
      </c>
      <c r="E149" s="11">
        <v>925</v>
      </c>
      <c r="F149" s="11">
        <v>930</v>
      </c>
      <c r="G149" s="11">
        <v>763.72</v>
      </c>
      <c r="H149" s="12">
        <v>78453700</v>
      </c>
      <c r="I149" s="22" t="str">
        <f t="shared" si="23"/>
        <v>-</v>
      </c>
      <c r="J149" s="13">
        <f t="shared" si="24"/>
        <v>-1.5873015873015872</v>
      </c>
      <c r="K149" s="13">
        <f t="shared" si="25"/>
        <v>61.421387685229767</v>
      </c>
      <c r="L149" s="14" t="str">
        <f t="shared" si="20"/>
        <v>Normal</v>
      </c>
      <c r="M149" s="14" t="str">
        <f t="shared" si="21"/>
        <v>Normal</v>
      </c>
      <c r="N149" s="14" t="str">
        <f t="shared" si="22"/>
        <v>No</v>
      </c>
    </row>
    <row r="150" spans="1:14" x14ac:dyDescent="0.25">
      <c r="A150" s="9">
        <v>43672</v>
      </c>
      <c r="B150" s="10">
        <v>2019</v>
      </c>
      <c r="C150" s="11">
        <v>930</v>
      </c>
      <c r="D150" s="11">
        <v>930</v>
      </c>
      <c r="E150" s="11">
        <v>885</v>
      </c>
      <c r="F150" s="11">
        <v>890</v>
      </c>
      <c r="G150" s="11">
        <v>730.87</v>
      </c>
      <c r="H150" s="12">
        <v>87812600</v>
      </c>
      <c r="I150" s="22" t="str">
        <f t="shared" si="23"/>
        <v>-</v>
      </c>
      <c r="J150" s="13">
        <f t="shared" si="24"/>
        <v>-4.3010752688172049</v>
      </c>
      <c r="K150" s="13">
        <f t="shared" si="25"/>
        <v>11.929201554547459</v>
      </c>
      <c r="L150" s="14" t="str">
        <f t="shared" si="20"/>
        <v>Sharp Price Decrease</v>
      </c>
      <c r="M150" s="14" t="str">
        <f t="shared" si="21"/>
        <v>Normal</v>
      </c>
      <c r="N150" s="14" t="str">
        <f t="shared" si="22"/>
        <v>No</v>
      </c>
    </row>
    <row r="151" spans="1:14" x14ac:dyDescent="0.25">
      <c r="A151" s="9">
        <v>43675</v>
      </c>
      <c r="B151" s="10">
        <v>2019</v>
      </c>
      <c r="C151" s="11">
        <v>895</v>
      </c>
      <c r="D151" s="11">
        <v>915</v>
      </c>
      <c r="E151" s="11">
        <v>880</v>
      </c>
      <c r="F151" s="11">
        <v>895</v>
      </c>
      <c r="G151" s="11">
        <v>734.98</v>
      </c>
      <c r="H151" s="12">
        <v>63726900</v>
      </c>
      <c r="I151" s="22" t="str">
        <f t="shared" si="23"/>
        <v>+</v>
      </c>
      <c r="J151" s="13">
        <f t="shared" si="24"/>
        <v>0.5617977528089888</v>
      </c>
      <c r="K151" s="13">
        <f t="shared" si="25"/>
        <v>-27.428523924812616</v>
      </c>
      <c r="L151" s="14" t="str">
        <f t="shared" si="20"/>
        <v>Normal</v>
      </c>
      <c r="M151" s="14" t="str">
        <f t="shared" si="21"/>
        <v>Normal</v>
      </c>
      <c r="N151" s="14" t="str">
        <f t="shared" si="22"/>
        <v>No</v>
      </c>
    </row>
    <row r="152" spans="1:14" x14ac:dyDescent="0.25">
      <c r="A152" s="9">
        <v>43676</v>
      </c>
      <c r="B152" s="10">
        <v>2019</v>
      </c>
      <c r="C152" s="11">
        <v>905</v>
      </c>
      <c r="D152" s="11">
        <v>940</v>
      </c>
      <c r="E152" s="11">
        <v>905</v>
      </c>
      <c r="F152" s="11">
        <v>935</v>
      </c>
      <c r="G152" s="11">
        <v>767.83</v>
      </c>
      <c r="H152" s="12">
        <v>84114000</v>
      </c>
      <c r="I152" s="22" t="str">
        <f t="shared" si="23"/>
        <v>+</v>
      </c>
      <c r="J152" s="13">
        <f t="shared" si="24"/>
        <v>4.4692737430167595</v>
      </c>
      <c r="K152" s="13">
        <f t="shared" si="25"/>
        <v>31.99135686813575</v>
      </c>
      <c r="L152" s="14" t="str">
        <f t="shared" si="20"/>
        <v>Normal</v>
      </c>
      <c r="M152" s="14" t="str">
        <f t="shared" si="21"/>
        <v>Normal</v>
      </c>
      <c r="N152" s="14" t="str">
        <f t="shared" si="22"/>
        <v>No</v>
      </c>
    </row>
    <row r="153" spans="1:14" x14ac:dyDescent="0.25">
      <c r="A153" s="9">
        <v>43677</v>
      </c>
      <c r="B153" s="10">
        <v>2019</v>
      </c>
      <c r="C153" s="11">
        <v>940</v>
      </c>
      <c r="D153" s="11">
        <v>945</v>
      </c>
      <c r="E153" s="11">
        <v>925</v>
      </c>
      <c r="F153" s="11">
        <v>935</v>
      </c>
      <c r="G153" s="11">
        <v>767.83</v>
      </c>
      <c r="H153" s="12">
        <v>48705800</v>
      </c>
      <c r="I153" s="22" t="str">
        <f t="shared" si="23"/>
        <v>0</v>
      </c>
      <c r="J153" s="13">
        <f t="shared" si="24"/>
        <v>0</v>
      </c>
      <c r="K153" s="13">
        <f t="shared" si="25"/>
        <v>-42.095489454787547</v>
      </c>
      <c r="L153" s="14" t="str">
        <f t="shared" si="20"/>
        <v>Normal</v>
      </c>
      <c r="M153" s="14" t="str">
        <f t="shared" si="21"/>
        <v>Normal</v>
      </c>
      <c r="N153" s="14" t="str">
        <f t="shared" si="22"/>
        <v>No</v>
      </c>
    </row>
    <row r="154" spans="1:14" x14ac:dyDescent="0.25">
      <c r="A154" s="9">
        <v>43678</v>
      </c>
      <c r="B154" s="10">
        <v>2019</v>
      </c>
      <c r="C154" s="11">
        <v>935</v>
      </c>
      <c r="D154" s="11">
        <v>940</v>
      </c>
      <c r="E154" s="11">
        <v>920</v>
      </c>
      <c r="F154" s="11">
        <v>925</v>
      </c>
      <c r="G154" s="11">
        <v>759.62</v>
      </c>
      <c r="H154" s="12">
        <v>46309500</v>
      </c>
      <c r="I154" s="22" t="str">
        <f t="shared" si="23"/>
        <v>-</v>
      </c>
      <c r="J154" s="13">
        <f t="shared" si="24"/>
        <v>-1.0695187165775399</v>
      </c>
      <c r="K154" s="13">
        <f t="shared" si="25"/>
        <v>-4.9199479322791122</v>
      </c>
      <c r="L154" s="14" t="str">
        <f t="shared" si="20"/>
        <v>Normal</v>
      </c>
      <c r="M154" s="14" t="str">
        <f t="shared" si="21"/>
        <v>Normal</v>
      </c>
      <c r="N154" s="14" t="str">
        <f t="shared" si="22"/>
        <v>No</v>
      </c>
    </row>
    <row r="155" spans="1:14" x14ac:dyDescent="0.25">
      <c r="A155" s="9">
        <v>43679</v>
      </c>
      <c r="B155" s="10">
        <v>2019</v>
      </c>
      <c r="C155" s="11">
        <v>905</v>
      </c>
      <c r="D155" s="11">
        <v>920</v>
      </c>
      <c r="E155" s="11">
        <v>890</v>
      </c>
      <c r="F155" s="11">
        <v>900</v>
      </c>
      <c r="G155" s="11">
        <v>739.09</v>
      </c>
      <c r="H155" s="12">
        <v>100773500</v>
      </c>
      <c r="I155" s="22" t="str">
        <f t="shared" si="23"/>
        <v>-</v>
      </c>
      <c r="J155" s="13">
        <f t="shared" si="24"/>
        <v>-2.7027027027027026</v>
      </c>
      <c r="K155" s="13">
        <f t="shared" si="25"/>
        <v>117.60869799933059</v>
      </c>
      <c r="L155" s="14" t="str">
        <f t="shared" si="20"/>
        <v>Normal</v>
      </c>
      <c r="M155" s="14" t="str">
        <f t="shared" si="21"/>
        <v>Normal</v>
      </c>
      <c r="N155" s="14" t="str">
        <f t="shared" si="22"/>
        <v>No</v>
      </c>
    </row>
    <row r="156" spans="1:14" x14ac:dyDescent="0.25">
      <c r="A156" s="9">
        <v>43682</v>
      </c>
      <c r="B156" s="10">
        <v>2019</v>
      </c>
      <c r="C156" s="11">
        <v>900</v>
      </c>
      <c r="D156" s="11">
        <v>900</v>
      </c>
      <c r="E156" s="11">
        <v>855</v>
      </c>
      <c r="F156" s="11">
        <v>860</v>
      </c>
      <c r="G156" s="11">
        <v>706.24</v>
      </c>
      <c r="H156" s="12">
        <v>83532300</v>
      </c>
      <c r="I156" s="22" t="str">
        <f t="shared" si="23"/>
        <v>-</v>
      </c>
      <c r="J156" s="13">
        <f t="shared" si="24"/>
        <v>-4.4444444444444446</v>
      </c>
      <c r="K156" s="13">
        <f t="shared" si="25"/>
        <v>-17.108862945119501</v>
      </c>
      <c r="L156" s="14" t="str">
        <f t="shared" si="20"/>
        <v>Sharp Price Decrease</v>
      </c>
      <c r="M156" s="14" t="str">
        <f t="shared" si="21"/>
        <v>Normal</v>
      </c>
      <c r="N156" s="14" t="str">
        <f t="shared" si="22"/>
        <v>No</v>
      </c>
    </row>
    <row r="157" spans="1:14" x14ac:dyDescent="0.25">
      <c r="A157" s="9">
        <v>43683</v>
      </c>
      <c r="B157" s="10">
        <v>2019</v>
      </c>
      <c r="C157" s="11">
        <v>850</v>
      </c>
      <c r="D157" s="11">
        <v>945</v>
      </c>
      <c r="E157" s="11">
        <v>830</v>
      </c>
      <c r="F157" s="11">
        <v>940</v>
      </c>
      <c r="G157" s="11">
        <v>771.93</v>
      </c>
      <c r="H157" s="12">
        <v>247604900</v>
      </c>
      <c r="I157" s="22" t="str">
        <f t="shared" si="23"/>
        <v>+</v>
      </c>
      <c r="J157" s="13">
        <f t="shared" si="24"/>
        <v>9.3023255813953494</v>
      </c>
      <c r="K157" s="13">
        <f t="shared" si="25"/>
        <v>196.4181520202365</v>
      </c>
      <c r="L157" s="14" t="str">
        <f t="shared" si="20"/>
        <v>Sharp Price Increase</v>
      </c>
      <c r="M157" s="14" t="str">
        <f t="shared" si="21"/>
        <v>Sharp Volume Increase</v>
      </c>
      <c r="N157" s="14" t="str">
        <f t="shared" si="22"/>
        <v>Yes</v>
      </c>
    </row>
    <row r="158" spans="1:14" x14ac:dyDescent="0.25">
      <c r="A158" s="9">
        <v>43684</v>
      </c>
      <c r="B158" s="10">
        <v>2019</v>
      </c>
      <c r="C158" s="11">
        <v>945</v>
      </c>
      <c r="D158" s="11">
        <v>1030</v>
      </c>
      <c r="E158" s="11">
        <v>940</v>
      </c>
      <c r="F158" s="11">
        <v>1005</v>
      </c>
      <c r="G158" s="11">
        <v>825.31</v>
      </c>
      <c r="H158" s="12">
        <v>487598800</v>
      </c>
      <c r="I158" s="22" t="str">
        <f t="shared" si="23"/>
        <v>+</v>
      </c>
      <c r="J158" s="13">
        <f t="shared" si="24"/>
        <v>6.9148936170212769</v>
      </c>
      <c r="K158" s="13">
        <f t="shared" si="25"/>
        <v>96.926151299913684</v>
      </c>
      <c r="L158" s="14" t="str">
        <f t="shared" si="20"/>
        <v>Sharp Price Increase</v>
      </c>
      <c r="M158" s="14" t="str">
        <f t="shared" si="21"/>
        <v>Normal</v>
      </c>
      <c r="N158" s="14" t="str">
        <f t="shared" si="22"/>
        <v>No</v>
      </c>
    </row>
    <row r="159" spans="1:14" x14ac:dyDescent="0.25">
      <c r="A159" s="9">
        <v>43685</v>
      </c>
      <c r="B159" s="10">
        <v>2019</v>
      </c>
      <c r="C159" s="11">
        <v>1050</v>
      </c>
      <c r="D159" s="11">
        <v>1075</v>
      </c>
      <c r="E159" s="11">
        <v>1010</v>
      </c>
      <c r="F159" s="11">
        <v>1020</v>
      </c>
      <c r="G159" s="11">
        <v>837.63</v>
      </c>
      <c r="H159" s="12">
        <v>257680900</v>
      </c>
      <c r="I159" s="22" t="str">
        <f t="shared" si="23"/>
        <v>+</v>
      </c>
      <c r="J159" s="13">
        <f t="shared" si="24"/>
        <v>1.4925373134328357</v>
      </c>
      <c r="K159" s="13">
        <f t="shared" si="25"/>
        <v>-47.153089794314504</v>
      </c>
      <c r="L159" s="14" t="str">
        <f t="shared" si="20"/>
        <v>Normal</v>
      </c>
      <c r="M159" s="14" t="str">
        <f t="shared" si="21"/>
        <v>Normal</v>
      </c>
      <c r="N159" s="14" t="str">
        <f t="shared" si="22"/>
        <v>No</v>
      </c>
    </row>
    <row r="160" spans="1:14" x14ac:dyDescent="0.25">
      <c r="A160" s="9">
        <v>43686</v>
      </c>
      <c r="B160" s="10">
        <v>2019</v>
      </c>
      <c r="C160" s="11">
        <v>1030</v>
      </c>
      <c r="D160" s="11">
        <v>1080</v>
      </c>
      <c r="E160" s="11">
        <v>1015</v>
      </c>
      <c r="F160" s="11">
        <v>1065</v>
      </c>
      <c r="G160" s="11">
        <v>874.58</v>
      </c>
      <c r="H160" s="12">
        <v>240007000</v>
      </c>
      <c r="I160" s="22" t="str">
        <f t="shared" si="23"/>
        <v>+</v>
      </c>
      <c r="J160" s="13">
        <f t="shared" si="24"/>
        <v>4.4117647058823533</v>
      </c>
      <c r="K160" s="13">
        <f t="shared" si="25"/>
        <v>-6.8588319894877738</v>
      </c>
      <c r="L160" s="14" t="str">
        <f t="shared" si="20"/>
        <v>Normal</v>
      </c>
      <c r="M160" s="14" t="str">
        <f t="shared" si="21"/>
        <v>Normal</v>
      </c>
      <c r="N160" s="14" t="str">
        <f t="shared" si="22"/>
        <v>No</v>
      </c>
    </row>
    <row r="161" spans="1:14" x14ac:dyDescent="0.25">
      <c r="A161" s="9">
        <v>43689</v>
      </c>
      <c r="B161" s="10">
        <v>2019</v>
      </c>
      <c r="C161" s="11">
        <v>1070</v>
      </c>
      <c r="D161" s="11">
        <v>1080</v>
      </c>
      <c r="E161" s="11">
        <v>1030</v>
      </c>
      <c r="F161" s="11">
        <v>1035</v>
      </c>
      <c r="G161" s="11">
        <v>849.95</v>
      </c>
      <c r="H161" s="12">
        <v>179863500</v>
      </c>
      <c r="I161" s="22" t="str">
        <f t="shared" si="23"/>
        <v>-</v>
      </c>
      <c r="J161" s="13">
        <f t="shared" si="24"/>
        <v>-2.8169014084507045</v>
      </c>
      <c r="K161" s="13">
        <f t="shared" si="25"/>
        <v>-25.059060777393995</v>
      </c>
      <c r="L161" s="14" t="str">
        <f t="shared" si="20"/>
        <v>Normal</v>
      </c>
      <c r="M161" s="14" t="str">
        <f t="shared" si="21"/>
        <v>Normal</v>
      </c>
      <c r="N161" s="14" t="str">
        <f t="shared" si="22"/>
        <v>No</v>
      </c>
    </row>
    <row r="162" spans="1:14" x14ac:dyDescent="0.25">
      <c r="A162" s="9">
        <v>43690</v>
      </c>
      <c r="B162" s="10">
        <v>2019</v>
      </c>
      <c r="C162" s="11">
        <v>1045</v>
      </c>
      <c r="D162" s="11">
        <v>1085</v>
      </c>
      <c r="E162" s="11">
        <v>1035</v>
      </c>
      <c r="F162" s="11">
        <v>1065</v>
      </c>
      <c r="G162" s="11">
        <v>874.58</v>
      </c>
      <c r="H162" s="12">
        <v>175124700</v>
      </c>
      <c r="I162" s="22" t="str">
        <f t="shared" si="23"/>
        <v>+</v>
      </c>
      <c r="J162" s="13">
        <f t="shared" si="24"/>
        <v>2.8985507246376812</v>
      </c>
      <c r="K162" s="13">
        <f t="shared" si="25"/>
        <v>-2.6346646206706752</v>
      </c>
      <c r="L162" s="14" t="str">
        <f t="shared" si="20"/>
        <v>Normal</v>
      </c>
      <c r="M162" s="14" t="str">
        <f t="shared" si="21"/>
        <v>Normal</v>
      </c>
      <c r="N162" s="14" t="str">
        <f t="shared" si="22"/>
        <v>No</v>
      </c>
    </row>
    <row r="163" spans="1:14" x14ac:dyDescent="0.25">
      <c r="A163" s="9">
        <v>43691</v>
      </c>
      <c r="B163" s="10">
        <v>2019</v>
      </c>
      <c r="C163" s="11">
        <v>1070</v>
      </c>
      <c r="D163" s="11">
        <v>1130</v>
      </c>
      <c r="E163" s="11">
        <v>1050</v>
      </c>
      <c r="F163" s="11">
        <v>1110</v>
      </c>
      <c r="G163" s="11">
        <v>911.54</v>
      </c>
      <c r="H163" s="12">
        <v>323676500</v>
      </c>
      <c r="I163" s="22" t="str">
        <f t="shared" si="23"/>
        <v>+</v>
      </c>
      <c r="J163" s="13">
        <f t="shared" si="24"/>
        <v>4.225352112676056</v>
      </c>
      <c r="K163" s="13">
        <f t="shared" si="25"/>
        <v>84.826298060753274</v>
      </c>
      <c r="L163" s="14" t="str">
        <f t="shared" si="20"/>
        <v>Normal</v>
      </c>
      <c r="M163" s="14" t="str">
        <f t="shared" si="21"/>
        <v>Normal</v>
      </c>
      <c r="N163" s="14" t="str">
        <f t="shared" si="22"/>
        <v>No</v>
      </c>
    </row>
    <row r="164" spans="1:14" x14ac:dyDescent="0.25">
      <c r="A164" s="9">
        <v>43692</v>
      </c>
      <c r="B164" s="10">
        <v>2019</v>
      </c>
      <c r="C164" s="11">
        <v>1090</v>
      </c>
      <c r="D164" s="11">
        <v>1140</v>
      </c>
      <c r="E164" s="11">
        <v>1085</v>
      </c>
      <c r="F164" s="11">
        <v>1120</v>
      </c>
      <c r="G164" s="11">
        <v>919.75</v>
      </c>
      <c r="H164" s="12">
        <v>195784600</v>
      </c>
      <c r="I164" s="22" t="str">
        <f t="shared" si="23"/>
        <v>+</v>
      </c>
      <c r="J164" s="13">
        <f t="shared" si="24"/>
        <v>0.90090090090090091</v>
      </c>
      <c r="K164" s="13">
        <f t="shared" si="25"/>
        <v>-39.512259926191739</v>
      </c>
      <c r="L164" s="14" t="str">
        <f t="shared" si="20"/>
        <v>Normal</v>
      </c>
      <c r="M164" s="14" t="str">
        <f t="shared" si="21"/>
        <v>Normal</v>
      </c>
      <c r="N164" s="14" t="str">
        <f t="shared" si="22"/>
        <v>No</v>
      </c>
    </row>
    <row r="165" spans="1:14" x14ac:dyDescent="0.25">
      <c r="A165" s="9">
        <v>43693</v>
      </c>
      <c r="B165" s="10">
        <v>2019</v>
      </c>
      <c r="C165" s="11">
        <v>1140</v>
      </c>
      <c r="D165" s="11">
        <v>1150</v>
      </c>
      <c r="E165" s="11">
        <v>1120</v>
      </c>
      <c r="F165" s="11">
        <v>1120</v>
      </c>
      <c r="G165" s="11">
        <v>919.75</v>
      </c>
      <c r="H165" s="12">
        <v>141043100</v>
      </c>
      <c r="I165" s="22" t="str">
        <f t="shared" si="23"/>
        <v>0</v>
      </c>
      <c r="J165" s="13">
        <f t="shared" si="24"/>
        <v>0</v>
      </c>
      <c r="K165" s="13">
        <f t="shared" si="25"/>
        <v>-27.960064274718238</v>
      </c>
      <c r="L165" s="14" t="str">
        <f t="shared" si="20"/>
        <v>Normal</v>
      </c>
      <c r="M165" s="14" t="str">
        <f t="shared" si="21"/>
        <v>Normal</v>
      </c>
      <c r="N165" s="14" t="str">
        <f t="shared" si="22"/>
        <v>No</v>
      </c>
    </row>
    <row r="166" spans="1:14" x14ac:dyDescent="0.25">
      <c r="A166" s="9">
        <v>43696</v>
      </c>
      <c r="B166" s="10">
        <v>2019</v>
      </c>
      <c r="C166" s="11">
        <v>1130</v>
      </c>
      <c r="D166" s="11">
        <v>1130</v>
      </c>
      <c r="E166" s="11">
        <v>1085</v>
      </c>
      <c r="F166" s="11">
        <v>1085</v>
      </c>
      <c r="G166" s="11">
        <v>891.01</v>
      </c>
      <c r="H166" s="12">
        <v>85735700</v>
      </c>
      <c r="I166" s="22" t="str">
        <f t="shared" si="23"/>
        <v>-</v>
      </c>
      <c r="J166" s="13">
        <f t="shared" si="24"/>
        <v>-3.125</v>
      </c>
      <c r="K166" s="13">
        <f t="shared" si="25"/>
        <v>-39.213119961203347</v>
      </c>
      <c r="L166" s="14" t="str">
        <f t="shared" si="20"/>
        <v>Normal</v>
      </c>
      <c r="M166" s="14" t="str">
        <f t="shared" si="21"/>
        <v>Normal</v>
      </c>
      <c r="N166" s="14" t="str">
        <f t="shared" si="22"/>
        <v>No</v>
      </c>
    </row>
    <row r="167" spans="1:14" x14ac:dyDescent="0.25">
      <c r="A167" s="9">
        <v>43697</v>
      </c>
      <c r="B167" s="10">
        <v>2019</v>
      </c>
      <c r="C167" s="11">
        <v>1080</v>
      </c>
      <c r="D167" s="11">
        <v>1080</v>
      </c>
      <c r="E167" s="11">
        <v>1035</v>
      </c>
      <c r="F167" s="11">
        <v>1050</v>
      </c>
      <c r="G167" s="11">
        <v>862.27</v>
      </c>
      <c r="H167" s="12">
        <v>117148500</v>
      </c>
      <c r="I167" s="22" t="str">
        <f t="shared" si="23"/>
        <v>-</v>
      </c>
      <c r="J167" s="13">
        <f t="shared" si="24"/>
        <v>-3.225806451612903</v>
      </c>
      <c r="K167" s="13">
        <f t="shared" si="25"/>
        <v>36.63911299493676</v>
      </c>
      <c r="L167" s="14" t="str">
        <f t="shared" si="20"/>
        <v>Normal</v>
      </c>
      <c r="M167" s="14" t="str">
        <f t="shared" si="21"/>
        <v>Normal</v>
      </c>
      <c r="N167" s="14" t="str">
        <f t="shared" si="22"/>
        <v>No</v>
      </c>
    </row>
    <row r="168" spans="1:14" x14ac:dyDescent="0.25">
      <c r="A168" s="9">
        <v>43698</v>
      </c>
      <c r="B168" s="10">
        <v>2019</v>
      </c>
      <c r="C168" s="11">
        <v>1055</v>
      </c>
      <c r="D168" s="11">
        <v>1085</v>
      </c>
      <c r="E168" s="11">
        <v>1025</v>
      </c>
      <c r="F168" s="11">
        <v>1070</v>
      </c>
      <c r="G168" s="11">
        <v>878.69</v>
      </c>
      <c r="H168" s="12">
        <v>151189900</v>
      </c>
      <c r="I168" s="22" t="str">
        <f t="shared" si="23"/>
        <v>+</v>
      </c>
      <c r="J168" s="13">
        <f t="shared" si="24"/>
        <v>1.9047619047619049</v>
      </c>
      <c r="K168" s="13">
        <f t="shared" si="25"/>
        <v>29.05833194620503</v>
      </c>
      <c r="L168" s="14" t="str">
        <f t="shared" si="20"/>
        <v>Normal</v>
      </c>
      <c r="M168" s="14" t="str">
        <f t="shared" si="21"/>
        <v>Normal</v>
      </c>
      <c r="N168" s="14" t="str">
        <f t="shared" si="22"/>
        <v>No</v>
      </c>
    </row>
    <row r="169" spans="1:14" x14ac:dyDescent="0.25">
      <c r="A169" s="9">
        <v>43699</v>
      </c>
      <c r="B169" s="10">
        <v>2019</v>
      </c>
      <c r="C169" s="11">
        <v>1075</v>
      </c>
      <c r="D169" s="11">
        <v>1080</v>
      </c>
      <c r="E169" s="11">
        <v>1035</v>
      </c>
      <c r="F169" s="11">
        <v>1040</v>
      </c>
      <c r="G169" s="11">
        <v>854.05</v>
      </c>
      <c r="H169" s="12">
        <v>65051200</v>
      </c>
      <c r="I169" s="22" t="str">
        <f t="shared" si="23"/>
        <v>-</v>
      </c>
      <c r="J169" s="13">
        <f t="shared" si="24"/>
        <v>-2.8037383177570092</v>
      </c>
      <c r="K169" s="13">
        <f t="shared" si="25"/>
        <v>-56.973845475127639</v>
      </c>
      <c r="L169" s="14" t="str">
        <f t="shared" si="20"/>
        <v>Normal</v>
      </c>
      <c r="M169" s="14" t="str">
        <f t="shared" si="21"/>
        <v>Sharp Volume Decrease</v>
      </c>
      <c r="N169" s="14" t="str">
        <f t="shared" si="22"/>
        <v>No</v>
      </c>
    </row>
    <row r="170" spans="1:14" x14ac:dyDescent="0.25">
      <c r="A170" s="9">
        <v>43700</v>
      </c>
      <c r="B170" s="10">
        <v>2019</v>
      </c>
      <c r="C170" s="11">
        <v>1045</v>
      </c>
      <c r="D170" s="11">
        <v>1045</v>
      </c>
      <c r="E170" s="11">
        <v>1015</v>
      </c>
      <c r="F170" s="11">
        <v>1015</v>
      </c>
      <c r="G170" s="11">
        <v>833.52</v>
      </c>
      <c r="H170" s="12">
        <v>87934800</v>
      </c>
      <c r="I170" s="22" t="str">
        <f t="shared" si="23"/>
        <v>-</v>
      </c>
      <c r="J170" s="13">
        <f t="shared" si="24"/>
        <v>-2.4038461538461542</v>
      </c>
      <c r="K170" s="13">
        <f t="shared" si="25"/>
        <v>35.177829156110882</v>
      </c>
      <c r="L170" s="14" t="str">
        <f t="shared" si="20"/>
        <v>Normal</v>
      </c>
      <c r="M170" s="14" t="str">
        <f t="shared" si="21"/>
        <v>Normal</v>
      </c>
      <c r="N170" s="14" t="str">
        <f t="shared" si="22"/>
        <v>No</v>
      </c>
    </row>
    <row r="171" spans="1:14" x14ac:dyDescent="0.25">
      <c r="A171" s="9">
        <v>43703</v>
      </c>
      <c r="B171" s="10">
        <v>2019</v>
      </c>
      <c r="C171" s="11">
        <v>1020</v>
      </c>
      <c r="D171" s="11">
        <v>1060</v>
      </c>
      <c r="E171" s="11">
        <v>1015</v>
      </c>
      <c r="F171" s="11">
        <v>1030</v>
      </c>
      <c r="G171" s="11">
        <v>845.84</v>
      </c>
      <c r="H171" s="12">
        <v>147239400</v>
      </c>
      <c r="I171" s="22" t="str">
        <f t="shared" si="23"/>
        <v>+</v>
      </c>
      <c r="J171" s="13">
        <f t="shared" si="24"/>
        <v>1.4778325123152709</v>
      </c>
      <c r="K171" s="13">
        <f t="shared" si="25"/>
        <v>67.441558973239268</v>
      </c>
      <c r="L171" s="14" t="str">
        <f t="shared" si="20"/>
        <v>Normal</v>
      </c>
      <c r="M171" s="14" t="str">
        <f t="shared" si="21"/>
        <v>Normal</v>
      </c>
      <c r="N171" s="14" t="str">
        <f t="shared" si="22"/>
        <v>No</v>
      </c>
    </row>
    <row r="172" spans="1:14" x14ac:dyDescent="0.25">
      <c r="A172" s="9">
        <v>43704</v>
      </c>
      <c r="B172" s="10">
        <v>2019</v>
      </c>
      <c r="C172" s="11">
        <v>1040</v>
      </c>
      <c r="D172" s="11">
        <v>1045</v>
      </c>
      <c r="E172" s="11">
        <v>1020</v>
      </c>
      <c r="F172" s="11">
        <v>1020</v>
      </c>
      <c r="G172" s="11">
        <v>837.63</v>
      </c>
      <c r="H172" s="12">
        <v>69950500</v>
      </c>
      <c r="I172" s="22" t="str">
        <f t="shared" si="23"/>
        <v>-</v>
      </c>
      <c r="J172" s="13">
        <f t="shared" si="24"/>
        <v>-0.97087378640776689</v>
      </c>
      <c r="K172" s="13">
        <f t="shared" si="25"/>
        <v>-52.491996028237011</v>
      </c>
      <c r="L172" s="14" t="str">
        <f t="shared" si="20"/>
        <v>Normal</v>
      </c>
      <c r="M172" s="14" t="str">
        <f t="shared" si="21"/>
        <v>Normal</v>
      </c>
      <c r="N172" s="14" t="str">
        <f t="shared" si="22"/>
        <v>No</v>
      </c>
    </row>
    <row r="173" spans="1:14" x14ac:dyDescent="0.25">
      <c r="A173" s="9">
        <v>43705</v>
      </c>
      <c r="B173" s="10">
        <v>2019</v>
      </c>
      <c r="C173" s="11">
        <v>1030</v>
      </c>
      <c r="D173" s="11">
        <v>1060</v>
      </c>
      <c r="E173" s="11">
        <v>1025</v>
      </c>
      <c r="F173" s="11">
        <v>1050</v>
      </c>
      <c r="G173" s="11">
        <v>862.27</v>
      </c>
      <c r="H173" s="12">
        <v>102409700</v>
      </c>
      <c r="I173" s="22" t="str">
        <f t="shared" si="23"/>
        <v>+</v>
      </c>
      <c r="J173" s="13">
        <f t="shared" si="24"/>
        <v>2.9411764705882351</v>
      </c>
      <c r="K173" s="13">
        <f t="shared" si="25"/>
        <v>46.403099334529415</v>
      </c>
      <c r="L173" s="14" t="str">
        <f t="shared" si="20"/>
        <v>Normal</v>
      </c>
      <c r="M173" s="14" t="str">
        <f t="shared" si="21"/>
        <v>Normal</v>
      </c>
      <c r="N173" s="14" t="str">
        <f t="shared" si="22"/>
        <v>No</v>
      </c>
    </row>
    <row r="174" spans="1:14" x14ac:dyDescent="0.25">
      <c r="A174" s="9">
        <v>43706</v>
      </c>
      <c r="B174" s="10">
        <v>2019</v>
      </c>
      <c r="C174" s="11">
        <v>1060</v>
      </c>
      <c r="D174" s="11">
        <v>1085</v>
      </c>
      <c r="E174" s="11">
        <v>1050</v>
      </c>
      <c r="F174" s="11">
        <v>1055</v>
      </c>
      <c r="G174" s="11">
        <v>866.37</v>
      </c>
      <c r="H174" s="12">
        <v>161352000</v>
      </c>
      <c r="I174" s="22" t="str">
        <f t="shared" si="23"/>
        <v>+</v>
      </c>
      <c r="J174" s="13">
        <f t="shared" si="24"/>
        <v>0.47619047619047622</v>
      </c>
      <c r="K174" s="13">
        <f t="shared" si="25"/>
        <v>57.555387819708479</v>
      </c>
      <c r="L174" s="14" t="str">
        <f t="shared" si="20"/>
        <v>Normal</v>
      </c>
      <c r="M174" s="14" t="str">
        <f t="shared" si="21"/>
        <v>Normal</v>
      </c>
      <c r="N174" s="14" t="str">
        <f t="shared" si="22"/>
        <v>No</v>
      </c>
    </row>
    <row r="175" spans="1:14" x14ac:dyDescent="0.25">
      <c r="A175" s="9">
        <v>43707</v>
      </c>
      <c r="B175" s="10">
        <v>2019</v>
      </c>
      <c r="C175" s="11">
        <v>1075</v>
      </c>
      <c r="D175" s="11">
        <v>1080</v>
      </c>
      <c r="E175" s="11">
        <v>1045</v>
      </c>
      <c r="F175" s="11">
        <v>1070</v>
      </c>
      <c r="G175" s="11">
        <v>878.69</v>
      </c>
      <c r="H175" s="12">
        <v>100688800</v>
      </c>
      <c r="I175" s="22" t="str">
        <f t="shared" si="23"/>
        <v>+</v>
      </c>
      <c r="J175" s="13">
        <f t="shared" si="24"/>
        <v>1.4218009478672986</v>
      </c>
      <c r="K175" s="13">
        <f t="shared" si="25"/>
        <v>-37.596806981010459</v>
      </c>
      <c r="L175" s="14" t="str">
        <f t="shared" si="20"/>
        <v>Normal</v>
      </c>
      <c r="M175" s="14" t="str">
        <f t="shared" si="21"/>
        <v>Normal</v>
      </c>
      <c r="N175" s="14" t="str">
        <f t="shared" si="22"/>
        <v>No</v>
      </c>
    </row>
    <row r="176" spans="1:14" x14ac:dyDescent="0.25">
      <c r="A176" s="9">
        <v>43710</v>
      </c>
      <c r="B176" s="10">
        <v>2019</v>
      </c>
      <c r="C176" s="11">
        <v>1120</v>
      </c>
      <c r="D176" s="11">
        <v>1175</v>
      </c>
      <c r="E176" s="11">
        <v>1115</v>
      </c>
      <c r="F176" s="11">
        <v>1170</v>
      </c>
      <c r="G176" s="11">
        <v>960.81</v>
      </c>
      <c r="H176" s="12">
        <v>380923500</v>
      </c>
      <c r="I176" s="22" t="str">
        <f t="shared" si="23"/>
        <v>+</v>
      </c>
      <c r="J176" s="13">
        <f t="shared" si="24"/>
        <v>9.3457943925233646</v>
      </c>
      <c r="K176" s="13">
        <f t="shared" si="25"/>
        <v>278.31764804029842</v>
      </c>
      <c r="L176" s="14" t="str">
        <f t="shared" si="20"/>
        <v>Sharp Price Increase</v>
      </c>
      <c r="M176" s="14" t="str">
        <f t="shared" si="21"/>
        <v>Sharp Volume Increase</v>
      </c>
      <c r="N176" s="14" t="str">
        <f t="shared" si="22"/>
        <v>Yes</v>
      </c>
    </row>
    <row r="177" spans="1:14" x14ac:dyDescent="0.25">
      <c r="A177" s="9">
        <v>43711</v>
      </c>
      <c r="B177" s="10">
        <v>2019</v>
      </c>
      <c r="C177" s="11">
        <v>1170</v>
      </c>
      <c r="D177" s="11">
        <v>1170</v>
      </c>
      <c r="E177" s="11">
        <v>1105</v>
      </c>
      <c r="F177" s="11">
        <v>1110</v>
      </c>
      <c r="G177" s="11">
        <v>911.54</v>
      </c>
      <c r="H177" s="12">
        <v>184669600</v>
      </c>
      <c r="I177" s="22" t="str">
        <f t="shared" si="23"/>
        <v>-</v>
      </c>
      <c r="J177" s="13">
        <f t="shared" si="24"/>
        <v>-5.1282051282051277</v>
      </c>
      <c r="K177" s="13">
        <f t="shared" si="25"/>
        <v>-51.520554652049555</v>
      </c>
      <c r="L177" s="14" t="str">
        <f t="shared" si="20"/>
        <v>Sharp Price Decrease</v>
      </c>
      <c r="M177" s="14" t="str">
        <f t="shared" si="21"/>
        <v>Normal</v>
      </c>
      <c r="N177" s="14" t="str">
        <f t="shared" si="22"/>
        <v>No</v>
      </c>
    </row>
    <row r="178" spans="1:14" x14ac:dyDescent="0.25">
      <c r="A178" s="9">
        <v>43712</v>
      </c>
      <c r="B178" s="10">
        <v>2019</v>
      </c>
      <c r="C178" s="11">
        <v>1120</v>
      </c>
      <c r="D178" s="11">
        <v>1140</v>
      </c>
      <c r="E178" s="11">
        <v>1090</v>
      </c>
      <c r="F178" s="11">
        <v>1100</v>
      </c>
      <c r="G178" s="11">
        <v>903.33</v>
      </c>
      <c r="H178" s="12">
        <v>108867300</v>
      </c>
      <c r="I178" s="22" t="str">
        <f t="shared" si="23"/>
        <v>-</v>
      </c>
      <c r="J178" s="13">
        <f t="shared" si="24"/>
        <v>-0.90090090090090091</v>
      </c>
      <c r="K178" s="13">
        <f t="shared" si="25"/>
        <v>-41.047524876861161</v>
      </c>
      <c r="L178" s="14" t="str">
        <f t="shared" si="20"/>
        <v>Normal</v>
      </c>
      <c r="M178" s="14" t="str">
        <f t="shared" si="21"/>
        <v>Normal</v>
      </c>
      <c r="N178" s="14" t="str">
        <f t="shared" si="22"/>
        <v>No</v>
      </c>
    </row>
    <row r="179" spans="1:14" x14ac:dyDescent="0.25">
      <c r="A179" s="9">
        <v>43713</v>
      </c>
      <c r="B179" s="10">
        <v>2019</v>
      </c>
      <c r="C179" s="11">
        <v>1105</v>
      </c>
      <c r="D179" s="11">
        <v>1115</v>
      </c>
      <c r="E179" s="11">
        <v>1085</v>
      </c>
      <c r="F179" s="11">
        <v>1100</v>
      </c>
      <c r="G179" s="11">
        <v>903.33</v>
      </c>
      <c r="H179" s="12">
        <v>109971500</v>
      </c>
      <c r="I179" s="22" t="str">
        <f t="shared" si="23"/>
        <v>0</v>
      </c>
      <c r="J179" s="13">
        <f t="shared" si="24"/>
        <v>0</v>
      </c>
      <c r="K179" s="13">
        <f t="shared" si="25"/>
        <v>1.0142623175186671</v>
      </c>
      <c r="L179" s="14" t="str">
        <f t="shared" si="20"/>
        <v>Normal</v>
      </c>
      <c r="M179" s="14" t="str">
        <f t="shared" si="21"/>
        <v>Normal</v>
      </c>
      <c r="N179" s="14" t="str">
        <f t="shared" si="22"/>
        <v>No</v>
      </c>
    </row>
    <row r="180" spans="1:14" x14ac:dyDescent="0.25">
      <c r="A180" s="9">
        <v>43714</v>
      </c>
      <c r="B180" s="10">
        <v>2019</v>
      </c>
      <c r="C180" s="11">
        <v>1090</v>
      </c>
      <c r="D180" s="11">
        <v>1100</v>
      </c>
      <c r="E180" s="11">
        <v>1075</v>
      </c>
      <c r="F180" s="11">
        <v>1075</v>
      </c>
      <c r="G180" s="11">
        <v>882.8</v>
      </c>
      <c r="H180" s="12">
        <v>70609200</v>
      </c>
      <c r="I180" s="22" t="str">
        <f t="shared" si="23"/>
        <v>-</v>
      </c>
      <c r="J180" s="13">
        <f t="shared" si="24"/>
        <v>-2.2727272727272729</v>
      </c>
      <c r="K180" s="13">
        <f t="shared" si="25"/>
        <v>-35.7931827791746</v>
      </c>
      <c r="L180" s="14" t="str">
        <f t="shared" si="20"/>
        <v>Normal</v>
      </c>
      <c r="M180" s="14" t="str">
        <f t="shared" si="21"/>
        <v>Normal</v>
      </c>
      <c r="N180" s="14" t="str">
        <f t="shared" si="22"/>
        <v>No</v>
      </c>
    </row>
    <row r="181" spans="1:14" x14ac:dyDescent="0.25">
      <c r="A181" s="9">
        <v>43717</v>
      </c>
      <c r="B181" s="10">
        <v>2019</v>
      </c>
      <c r="C181" s="11">
        <v>1080</v>
      </c>
      <c r="D181" s="11">
        <v>1135</v>
      </c>
      <c r="E181" s="11">
        <v>1080</v>
      </c>
      <c r="F181" s="11">
        <v>1120</v>
      </c>
      <c r="G181" s="11">
        <v>919.75</v>
      </c>
      <c r="H181" s="12">
        <v>153116500</v>
      </c>
      <c r="I181" s="22" t="str">
        <f t="shared" si="23"/>
        <v>+</v>
      </c>
      <c r="J181" s="13">
        <f t="shared" si="24"/>
        <v>4.1860465116279073</v>
      </c>
      <c r="K181" s="13">
        <f t="shared" si="25"/>
        <v>116.85063702746952</v>
      </c>
      <c r="L181" s="14" t="str">
        <f t="shared" si="20"/>
        <v>Normal</v>
      </c>
      <c r="M181" s="14" t="str">
        <f t="shared" si="21"/>
        <v>Normal</v>
      </c>
      <c r="N181" s="14" t="str">
        <f t="shared" si="22"/>
        <v>No</v>
      </c>
    </row>
    <row r="182" spans="1:14" x14ac:dyDescent="0.25">
      <c r="A182" s="9">
        <v>43718</v>
      </c>
      <c r="B182" s="10">
        <v>2019</v>
      </c>
      <c r="C182" s="11">
        <v>1130</v>
      </c>
      <c r="D182" s="11">
        <v>1160</v>
      </c>
      <c r="E182" s="11">
        <v>1110</v>
      </c>
      <c r="F182" s="11">
        <v>1130</v>
      </c>
      <c r="G182" s="11">
        <v>927.96</v>
      </c>
      <c r="H182" s="12">
        <v>202036800</v>
      </c>
      <c r="I182" s="22" t="str">
        <f t="shared" si="23"/>
        <v>+</v>
      </c>
      <c r="J182" s="13">
        <f t="shared" si="24"/>
        <v>0.89285714285714279</v>
      </c>
      <c r="K182" s="13">
        <f t="shared" si="25"/>
        <v>31.949724556138626</v>
      </c>
      <c r="L182" s="14" t="str">
        <f t="shared" si="20"/>
        <v>Normal</v>
      </c>
      <c r="M182" s="14" t="str">
        <f t="shared" si="21"/>
        <v>Normal</v>
      </c>
      <c r="N182" s="14" t="str">
        <f t="shared" si="22"/>
        <v>No</v>
      </c>
    </row>
    <row r="183" spans="1:14" x14ac:dyDescent="0.25">
      <c r="A183" s="9">
        <v>43719</v>
      </c>
      <c r="B183" s="10">
        <v>2019</v>
      </c>
      <c r="C183" s="11">
        <v>1125</v>
      </c>
      <c r="D183" s="11">
        <v>1140</v>
      </c>
      <c r="E183" s="11">
        <v>1115</v>
      </c>
      <c r="F183" s="11">
        <v>1125</v>
      </c>
      <c r="G183" s="11">
        <v>923.86</v>
      </c>
      <c r="H183" s="12">
        <v>65474500</v>
      </c>
      <c r="I183" s="22" t="str">
        <f t="shared" si="23"/>
        <v>-</v>
      </c>
      <c r="J183" s="13">
        <f t="shared" si="24"/>
        <v>-0.44247787610619471</v>
      </c>
      <c r="K183" s="13">
        <f t="shared" si="25"/>
        <v>-67.5927850767781</v>
      </c>
      <c r="L183" s="14" t="str">
        <f t="shared" si="20"/>
        <v>Normal</v>
      </c>
      <c r="M183" s="14" t="str">
        <f t="shared" si="21"/>
        <v>Sharp Volume Decrease</v>
      </c>
      <c r="N183" s="14" t="str">
        <f t="shared" si="22"/>
        <v>No</v>
      </c>
    </row>
    <row r="184" spans="1:14" x14ac:dyDescent="0.25">
      <c r="A184" s="9">
        <v>43720</v>
      </c>
      <c r="B184" s="10">
        <v>2019</v>
      </c>
      <c r="C184" s="11">
        <v>1125</v>
      </c>
      <c r="D184" s="11">
        <v>1140</v>
      </c>
      <c r="E184" s="11">
        <v>1115</v>
      </c>
      <c r="F184" s="11">
        <v>1120</v>
      </c>
      <c r="G184" s="11">
        <v>919.75</v>
      </c>
      <c r="H184" s="12">
        <v>59565600</v>
      </c>
      <c r="I184" s="22" t="str">
        <f t="shared" si="23"/>
        <v>-</v>
      </c>
      <c r="J184" s="13">
        <f t="shared" si="24"/>
        <v>-0.44444444444444442</v>
      </c>
      <c r="K184" s="13">
        <f t="shared" si="25"/>
        <v>-9.0247348204262714</v>
      </c>
      <c r="L184" s="14" t="str">
        <f t="shared" si="20"/>
        <v>Normal</v>
      </c>
      <c r="M184" s="14" t="str">
        <f t="shared" si="21"/>
        <v>Normal</v>
      </c>
      <c r="N184" s="14" t="str">
        <f t="shared" si="22"/>
        <v>No</v>
      </c>
    </row>
    <row r="185" spans="1:14" x14ac:dyDescent="0.25">
      <c r="A185" s="9">
        <v>43721</v>
      </c>
      <c r="B185" s="10">
        <v>2019</v>
      </c>
      <c r="C185" s="11">
        <v>1120</v>
      </c>
      <c r="D185" s="11">
        <v>1125</v>
      </c>
      <c r="E185" s="11">
        <v>1055</v>
      </c>
      <c r="F185" s="11">
        <v>1070</v>
      </c>
      <c r="G185" s="11">
        <v>878.69</v>
      </c>
      <c r="H185" s="12">
        <v>128241500</v>
      </c>
      <c r="I185" s="22" t="str">
        <f t="shared" si="23"/>
        <v>-</v>
      </c>
      <c r="J185" s="13">
        <f t="shared" si="24"/>
        <v>-4.4642857142857144</v>
      </c>
      <c r="K185" s="13">
        <f t="shared" si="25"/>
        <v>115.29456599110897</v>
      </c>
      <c r="L185" s="14" t="str">
        <f t="shared" si="20"/>
        <v>Sharp Price Decrease</v>
      </c>
      <c r="M185" s="14" t="str">
        <f t="shared" si="21"/>
        <v>Normal</v>
      </c>
      <c r="N185" s="14" t="str">
        <f t="shared" si="22"/>
        <v>No</v>
      </c>
    </row>
    <row r="186" spans="1:14" x14ac:dyDescent="0.25">
      <c r="A186" s="9">
        <v>43724</v>
      </c>
      <c r="B186" s="10">
        <v>2019</v>
      </c>
      <c r="C186" s="11">
        <v>1070</v>
      </c>
      <c r="D186" s="11">
        <v>1085</v>
      </c>
      <c r="E186" s="11">
        <v>1040</v>
      </c>
      <c r="F186" s="11">
        <v>1050</v>
      </c>
      <c r="G186" s="11">
        <v>862.27</v>
      </c>
      <c r="H186" s="12">
        <v>95702700</v>
      </c>
      <c r="I186" s="22" t="str">
        <f t="shared" si="23"/>
        <v>-</v>
      </c>
      <c r="J186" s="13">
        <f t="shared" si="24"/>
        <v>-1.8691588785046727</v>
      </c>
      <c r="K186" s="13">
        <f t="shared" si="25"/>
        <v>-25.373065661271898</v>
      </c>
      <c r="L186" s="14" t="str">
        <f t="shared" si="20"/>
        <v>Normal</v>
      </c>
      <c r="M186" s="14" t="str">
        <f t="shared" si="21"/>
        <v>Normal</v>
      </c>
      <c r="N186" s="14" t="str">
        <f t="shared" si="22"/>
        <v>No</v>
      </c>
    </row>
    <row r="187" spans="1:14" x14ac:dyDescent="0.25">
      <c r="A187" s="9">
        <v>43725</v>
      </c>
      <c r="B187" s="10">
        <v>2019</v>
      </c>
      <c r="C187" s="11">
        <v>1045</v>
      </c>
      <c r="D187" s="11">
        <v>1060</v>
      </c>
      <c r="E187" s="11">
        <v>1040</v>
      </c>
      <c r="F187" s="11">
        <v>1050</v>
      </c>
      <c r="G187" s="11">
        <v>862.27</v>
      </c>
      <c r="H187" s="12">
        <v>40393900</v>
      </c>
      <c r="I187" s="22" t="str">
        <f t="shared" si="23"/>
        <v>0</v>
      </c>
      <c r="J187" s="13">
        <f t="shared" si="24"/>
        <v>0</v>
      </c>
      <c r="K187" s="13">
        <f t="shared" si="25"/>
        <v>-57.792308889926822</v>
      </c>
      <c r="L187" s="14" t="str">
        <f t="shared" si="20"/>
        <v>Normal</v>
      </c>
      <c r="M187" s="14" t="str">
        <f t="shared" si="21"/>
        <v>Sharp Volume Decrease</v>
      </c>
      <c r="N187" s="14" t="str">
        <f t="shared" si="22"/>
        <v>No</v>
      </c>
    </row>
    <row r="188" spans="1:14" x14ac:dyDescent="0.25">
      <c r="A188" s="9">
        <v>43726</v>
      </c>
      <c r="B188" s="10">
        <v>2019</v>
      </c>
      <c r="C188" s="11">
        <v>1055</v>
      </c>
      <c r="D188" s="11">
        <v>1080</v>
      </c>
      <c r="E188" s="11">
        <v>1050</v>
      </c>
      <c r="F188" s="11">
        <v>1065</v>
      </c>
      <c r="G188" s="11">
        <v>874.58</v>
      </c>
      <c r="H188" s="12">
        <v>77525900</v>
      </c>
      <c r="I188" s="22" t="str">
        <f t="shared" si="23"/>
        <v>+</v>
      </c>
      <c r="J188" s="13">
        <f t="shared" si="24"/>
        <v>1.4285714285714286</v>
      </c>
      <c r="K188" s="13">
        <f t="shared" si="25"/>
        <v>91.924770819356382</v>
      </c>
      <c r="L188" s="14" t="str">
        <f t="shared" si="20"/>
        <v>Normal</v>
      </c>
      <c r="M188" s="14" t="str">
        <f t="shared" si="21"/>
        <v>Normal</v>
      </c>
      <c r="N188" s="14" t="str">
        <f t="shared" si="22"/>
        <v>No</v>
      </c>
    </row>
    <row r="189" spans="1:14" x14ac:dyDescent="0.25">
      <c r="A189" s="9">
        <v>43727</v>
      </c>
      <c r="B189" s="10">
        <v>2019</v>
      </c>
      <c r="C189" s="11">
        <v>1065</v>
      </c>
      <c r="D189" s="11">
        <v>1080</v>
      </c>
      <c r="E189" s="11">
        <v>1045</v>
      </c>
      <c r="F189" s="11">
        <v>1045</v>
      </c>
      <c r="G189" s="11">
        <v>858.16</v>
      </c>
      <c r="H189" s="12">
        <v>46921500</v>
      </c>
      <c r="I189" s="22" t="str">
        <f t="shared" si="23"/>
        <v>-</v>
      </c>
      <c r="J189" s="13">
        <f t="shared" si="24"/>
        <v>-1.8779342723004695</v>
      </c>
      <c r="K189" s="13">
        <f t="shared" si="25"/>
        <v>-39.476355643726805</v>
      </c>
      <c r="L189" s="14" t="str">
        <f t="shared" si="20"/>
        <v>Normal</v>
      </c>
      <c r="M189" s="14" t="str">
        <f t="shared" si="21"/>
        <v>Normal</v>
      </c>
      <c r="N189" s="14" t="str">
        <f t="shared" si="22"/>
        <v>No</v>
      </c>
    </row>
    <row r="190" spans="1:14" x14ac:dyDescent="0.25">
      <c r="A190" s="9">
        <v>43728</v>
      </c>
      <c r="B190" s="10">
        <v>2019</v>
      </c>
      <c r="C190" s="11">
        <v>1050</v>
      </c>
      <c r="D190" s="11">
        <v>1075</v>
      </c>
      <c r="E190" s="11">
        <v>1045</v>
      </c>
      <c r="F190" s="11">
        <v>1065</v>
      </c>
      <c r="G190" s="11">
        <v>874.58</v>
      </c>
      <c r="H190" s="12">
        <v>77305700</v>
      </c>
      <c r="I190" s="22" t="str">
        <f t="shared" si="23"/>
        <v>+</v>
      </c>
      <c r="J190" s="13">
        <f t="shared" si="24"/>
        <v>1.9138755980861244</v>
      </c>
      <c r="K190" s="13">
        <f t="shared" si="25"/>
        <v>64.755389320460765</v>
      </c>
      <c r="L190" s="14" t="str">
        <f t="shared" si="20"/>
        <v>Normal</v>
      </c>
      <c r="M190" s="14" t="str">
        <f t="shared" si="21"/>
        <v>Normal</v>
      </c>
      <c r="N190" s="14" t="str">
        <f t="shared" si="22"/>
        <v>No</v>
      </c>
    </row>
    <row r="191" spans="1:14" x14ac:dyDescent="0.25">
      <c r="A191" s="9">
        <v>43731</v>
      </c>
      <c r="B191" s="10">
        <v>2019</v>
      </c>
      <c r="C191" s="11">
        <v>1070</v>
      </c>
      <c r="D191" s="11">
        <v>1075</v>
      </c>
      <c r="E191" s="11">
        <v>1055</v>
      </c>
      <c r="F191" s="11">
        <v>1055</v>
      </c>
      <c r="G191" s="11">
        <v>866.37</v>
      </c>
      <c r="H191" s="12">
        <v>50722600</v>
      </c>
      <c r="I191" s="22" t="str">
        <f t="shared" si="23"/>
        <v>-</v>
      </c>
      <c r="J191" s="13">
        <f t="shared" si="24"/>
        <v>-0.93896713615023475</v>
      </c>
      <c r="K191" s="13">
        <f t="shared" si="25"/>
        <v>-34.386985694457202</v>
      </c>
      <c r="L191" s="14" t="str">
        <f t="shared" si="20"/>
        <v>Normal</v>
      </c>
      <c r="M191" s="14" t="str">
        <f t="shared" si="21"/>
        <v>Normal</v>
      </c>
      <c r="N191" s="14" t="str">
        <f t="shared" si="22"/>
        <v>No</v>
      </c>
    </row>
    <row r="192" spans="1:14" x14ac:dyDescent="0.25">
      <c r="A192" s="9">
        <v>43732</v>
      </c>
      <c r="B192" s="10">
        <v>2019</v>
      </c>
      <c r="C192" s="11">
        <v>1050</v>
      </c>
      <c r="D192" s="11">
        <v>1055</v>
      </c>
      <c r="E192" s="11">
        <v>1010</v>
      </c>
      <c r="F192" s="11">
        <v>1015</v>
      </c>
      <c r="G192" s="11">
        <v>833.52</v>
      </c>
      <c r="H192" s="12">
        <v>104106400</v>
      </c>
      <c r="I192" s="22" t="str">
        <f t="shared" si="23"/>
        <v>-</v>
      </c>
      <c r="J192" s="13">
        <f t="shared" si="24"/>
        <v>-3.7914691943127963</v>
      </c>
      <c r="K192" s="13">
        <f t="shared" si="25"/>
        <v>105.24657647675791</v>
      </c>
      <c r="L192" s="14" t="str">
        <f t="shared" si="20"/>
        <v>Normal</v>
      </c>
      <c r="M192" s="14" t="str">
        <f t="shared" si="21"/>
        <v>Normal</v>
      </c>
      <c r="N192" s="14" t="str">
        <f t="shared" si="22"/>
        <v>No</v>
      </c>
    </row>
    <row r="193" spans="1:14" x14ac:dyDescent="0.25">
      <c r="A193" s="9">
        <v>43733</v>
      </c>
      <c r="B193" s="10">
        <v>2019</v>
      </c>
      <c r="C193" s="11">
        <v>1015</v>
      </c>
      <c r="D193" s="11">
        <v>1035</v>
      </c>
      <c r="E193" s="11">
        <v>1005</v>
      </c>
      <c r="F193" s="11">
        <v>1010</v>
      </c>
      <c r="G193" s="11">
        <v>829.42</v>
      </c>
      <c r="H193" s="12">
        <v>67498200</v>
      </c>
      <c r="I193" s="22" t="str">
        <f t="shared" si="23"/>
        <v>-</v>
      </c>
      <c r="J193" s="13">
        <f t="shared" si="24"/>
        <v>-0.49261083743842365</v>
      </c>
      <c r="K193" s="13">
        <f t="shared" si="25"/>
        <v>-35.1642166091614</v>
      </c>
      <c r="L193" s="14" t="str">
        <f t="shared" si="20"/>
        <v>Normal</v>
      </c>
      <c r="M193" s="14" t="str">
        <f t="shared" si="21"/>
        <v>Normal</v>
      </c>
      <c r="N193" s="14" t="str">
        <f t="shared" si="22"/>
        <v>No</v>
      </c>
    </row>
    <row r="194" spans="1:14" x14ac:dyDescent="0.25">
      <c r="A194" s="9">
        <v>43734</v>
      </c>
      <c r="B194" s="10">
        <v>2019</v>
      </c>
      <c r="C194" s="11">
        <v>1015</v>
      </c>
      <c r="D194" s="11">
        <v>1030</v>
      </c>
      <c r="E194" s="11">
        <v>1010</v>
      </c>
      <c r="F194" s="11">
        <v>1015</v>
      </c>
      <c r="G194" s="11">
        <v>833.52</v>
      </c>
      <c r="H194" s="12">
        <v>70656200</v>
      </c>
      <c r="I194" s="22" t="str">
        <f t="shared" si="23"/>
        <v>+</v>
      </c>
      <c r="J194" s="13">
        <f t="shared" si="24"/>
        <v>0.49504950495049505</v>
      </c>
      <c r="K194" s="13">
        <f t="shared" si="25"/>
        <v>4.6786432823393804</v>
      </c>
      <c r="L194" s="14" t="str">
        <f t="shared" si="20"/>
        <v>Normal</v>
      </c>
      <c r="M194" s="14" t="str">
        <f t="shared" si="21"/>
        <v>Normal</v>
      </c>
      <c r="N194" s="14" t="str">
        <f t="shared" si="22"/>
        <v>No</v>
      </c>
    </row>
    <row r="195" spans="1:14" x14ac:dyDescent="0.25">
      <c r="A195" s="9">
        <v>43735</v>
      </c>
      <c r="B195" s="10">
        <v>2019</v>
      </c>
      <c r="C195" s="11">
        <v>1015</v>
      </c>
      <c r="D195" s="11">
        <v>1020</v>
      </c>
      <c r="E195" s="11">
        <v>985</v>
      </c>
      <c r="F195" s="11">
        <v>990</v>
      </c>
      <c r="G195" s="11">
        <v>812.99</v>
      </c>
      <c r="H195" s="12">
        <v>65010900</v>
      </c>
      <c r="I195" s="22" t="str">
        <f t="shared" si="23"/>
        <v>-</v>
      </c>
      <c r="J195" s="13">
        <f t="shared" si="24"/>
        <v>-2.4630541871921183</v>
      </c>
      <c r="K195" s="13">
        <f t="shared" si="25"/>
        <v>-7.9898154726690649</v>
      </c>
      <c r="L195" s="14" t="str">
        <f t="shared" ref="L195:L258" si="26">IFERROR(IF(OR(J195="",ISBLANK(J195)),"Normal",IF(J195&lt;=$U$6,"Sharp Price Decrease",IF(J195&gt;=$U$7,"Sharp Price Increase","Normal"))),"Normal")</f>
        <v>Normal</v>
      </c>
      <c r="M195" s="14" t="str">
        <f t="shared" ref="M195:M258" si="27">IFERROR(IF(OR(K195="",ISBLANK(K195)),"Normal",IF(K195&lt;=$U$8,"Sharp Volume Decrease",IF(K195&gt;=$U$9,"Sharp Volume Increase","Normal"))),"Normal")</f>
        <v>Normal</v>
      </c>
      <c r="N195" s="14" t="str">
        <f t="shared" ref="N195:N258" si="28">IFERROR(IF(AND(OR(L195="Sharp Price Increase",L195="Sharp Price Decrease"),OR(M195="Sharp Volume Increase",M195="Sharp Volume Decrease")),"Yes","No"),"No")</f>
        <v>No</v>
      </c>
    </row>
    <row r="196" spans="1:14" x14ac:dyDescent="0.25">
      <c r="A196" s="9">
        <v>43738</v>
      </c>
      <c r="B196" s="10">
        <v>2019</v>
      </c>
      <c r="C196" s="11">
        <v>990</v>
      </c>
      <c r="D196" s="11">
        <v>1000</v>
      </c>
      <c r="E196" s="11">
        <v>965</v>
      </c>
      <c r="F196" s="11">
        <v>975</v>
      </c>
      <c r="G196" s="11">
        <v>800.68</v>
      </c>
      <c r="H196" s="12">
        <v>73819000</v>
      </c>
      <c r="I196" s="22" t="str">
        <f t="shared" ref="I196:I259" si="29">IFERROR(IF(OR(F195="",F196=""),"",IF(F196-F195&lt;0,"-",IF(F196-F195&gt;0,"+","0"))),"")</f>
        <v>-</v>
      </c>
      <c r="J196" s="13">
        <f t="shared" ref="J196:J259" si="30">(F196-F195)/F195*100</f>
        <v>-1.5151515151515151</v>
      </c>
      <c r="K196" s="13">
        <f t="shared" ref="K196:K259" si="31">(H196-H195)/H195*100</f>
        <v>13.548651072358636</v>
      </c>
      <c r="L196" s="14" t="str">
        <f t="shared" si="26"/>
        <v>Normal</v>
      </c>
      <c r="M196" s="14" t="str">
        <f t="shared" si="27"/>
        <v>Normal</v>
      </c>
      <c r="N196" s="14" t="str">
        <f t="shared" si="28"/>
        <v>No</v>
      </c>
    </row>
    <row r="197" spans="1:14" x14ac:dyDescent="0.25">
      <c r="A197" s="9">
        <v>43739</v>
      </c>
      <c r="B197" s="10">
        <v>2019</v>
      </c>
      <c r="C197" s="11">
        <v>990</v>
      </c>
      <c r="D197" s="11">
        <v>995</v>
      </c>
      <c r="E197" s="11">
        <v>950</v>
      </c>
      <c r="F197" s="11">
        <v>955</v>
      </c>
      <c r="G197" s="11">
        <v>784.25</v>
      </c>
      <c r="H197" s="12">
        <v>70031100</v>
      </c>
      <c r="I197" s="22" t="str">
        <f t="shared" si="29"/>
        <v>-</v>
      </c>
      <c r="J197" s="13">
        <f t="shared" si="30"/>
        <v>-2.0512820512820511</v>
      </c>
      <c r="K197" s="13">
        <f t="shared" si="31"/>
        <v>-5.1313347512158121</v>
      </c>
      <c r="L197" s="14" t="str">
        <f t="shared" si="26"/>
        <v>Normal</v>
      </c>
      <c r="M197" s="14" t="str">
        <f t="shared" si="27"/>
        <v>Normal</v>
      </c>
      <c r="N197" s="14" t="str">
        <f t="shared" si="28"/>
        <v>No</v>
      </c>
    </row>
    <row r="198" spans="1:14" x14ac:dyDescent="0.25">
      <c r="A198" s="9">
        <v>43740</v>
      </c>
      <c r="B198" s="10">
        <v>2019</v>
      </c>
      <c r="C198" s="11">
        <v>965</v>
      </c>
      <c r="D198" s="11">
        <v>975</v>
      </c>
      <c r="E198" s="11">
        <v>915</v>
      </c>
      <c r="F198" s="11">
        <v>920</v>
      </c>
      <c r="G198" s="11">
        <v>755.51</v>
      </c>
      <c r="H198" s="12">
        <v>79407500</v>
      </c>
      <c r="I198" s="22" t="str">
        <f t="shared" si="29"/>
        <v>-</v>
      </c>
      <c r="J198" s="13">
        <f t="shared" si="30"/>
        <v>-3.664921465968586</v>
      </c>
      <c r="K198" s="13">
        <f t="shared" si="31"/>
        <v>13.388908642017618</v>
      </c>
      <c r="L198" s="14" t="str">
        <f t="shared" si="26"/>
        <v>Normal</v>
      </c>
      <c r="M198" s="14" t="str">
        <f t="shared" si="27"/>
        <v>Normal</v>
      </c>
      <c r="N198" s="14" t="str">
        <f t="shared" si="28"/>
        <v>No</v>
      </c>
    </row>
    <row r="199" spans="1:14" x14ac:dyDescent="0.25">
      <c r="A199" s="9">
        <v>43741</v>
      </c>
      <c r="B199" s="10">
        <v>2019</v>
      </c>
      <c r="C199" s="11">
        <v>920</v>
      </c>
      <c r="D199" s="11">
        <v>970</v>
      </c>
      <c r="E199" s="11">
        <v>915</v>
      </c>
      <c r="F199" s="11">
        <v>965</v>
      </c>
      <c r="G199" s="11">
        <v>792.46</v>
      </c>
      <c r="H199" s="12">
        <v>77444800</v>
      </c>
      <c r="I199" s="22" t="str">
        <f t="shared" si="29"/>
        <v>+</v>
      </c>
      <c r="J199" s="13">
        <f t="shared" si="30"/>
        <v>4.8913043478260869</v>
      </c>
      <c r="K199" s="13">
        <f t="shared" si="31"/>
        <v>-2.4716808865661304</v>
      </c>
      <c r="L199" s="14" t="str">
        <f t="shared" si="26"/>
        <v>Normal</v>
      </c>
      <c r="M199" s="14" t="str">
        <f t="shared" si="27"/>
        <v>Normal</v>
      </c>
      <c r="N199" s="14" t="str">
        <f t="shared" si="28"/>
        <v>No</v>
      </c>
    </row>
    <row r="200" spans="1:14" x14ac:dyDescent="0.25">
      <c r="A200" s="9">
        <v>43742</v>
      </c>
      <c r="B200" s="10">
        <v>2019</v>
      </c>
      <c r="C200" s="11">
        <v>975</v>
      </c>
      <c r="D200" s="11">
        <v>985</v>
      </c>
      <c r="E200" s="11">
        <v>945</v>
      </c>
      <c r="F200" s="11">
        <v>960</v>
      </c>
      <c r="G200" s="11">
        <v>788.36</v>
      </c>
      <c r="H200" s="12">
        <v>46452800</v>
      </c>
      <c r="I200" s="22" t="str">
        <f t="shared" si="29"/>
        <v>-</v>
      </c>
      <c r="J200" s="13">
        <f t="shared" si="30"/>
        <v>-0.5181347150259068</v>
      </c>
      <c r="K200" s="13">
        <f t="shared" si="31"/>
        <v>-40.018180691279461</v>
      </c>
      <c r="L200" s="14" t="str">
        <f t="shared" si="26"/>
        <v>Normal</v>
      </c>
      <c r="M200" s="14" t="str">
        <f t="shared" si="27"/>
        <v>Normal</v>
      </c>
      <c r="N200" s="14" t="str">
        <f t="shared" si="28"/>
        <v>No</v>
      </c>
    </row>
    <row r="201" spans="1:14" x14ac:dyDescent="0.25">
      <c r="A201" s="9">
        <v>43745</v>
      </c>
      <c r="B201" s="10">
        <v>2019</v>
      </c>
      <c r="C201" s="11">
        <v>965</v>
      </c>
      <c r="D201" s="11">
        <v>980</v>
      </c>
      <c r="E201" s="11">
        <v>945</v>
      </c>
      <c r="F201" s="11">
        <v>955</v>
      </c>
      <c r="G201" s="11">
        <v>784.25</v>
      </c>
      <c r="H201" s="12">
        <v>45234500</v>
      </c>
      <c r="I201" s="22" t="str">
        <f t="shared" si="29"/>
        <v>-</v>
      </c>
      <c r="J201" s="13">
        <f t="shared" si="30"/>
        <v>-0.52083333333333326</v>
      </c>
      <c r="K201" s="13">
        <f t="shared" si="31"/>
        <v>-2.6226621430785659</v>
      </c>
      <c r="L201" s="14" t="str">
        <f t="shared" si="26"/>
        <v>Normal</v>
      </c>
      <c r="M201" s="14" t="str">
        <f t="shared" si="27"/>
        <v>Normal</v>
      </c>
      <c r="N201" s="14" t="str">
        <f t="shared" si="28"/>
        <v>No</v>
      </c>
    </row>
    <row r="202" spans="1:14" x14ac:dyDescent="0.25">
      <c r="A202" s="9">
        <v>43746</v>
      </c>
      <c r="B202" s="10">
        <v>2019</v>
      </c>
      <c r="C202" s="11">
        <v>950</v>
      </c>
      <c r="D202" s="11">
        <v>955</v>
      </c>
      <c r="E202" s="11">
        <v>930</v>
      </c>
      <c r="F202" s="11">
        <v>930</v>
      </c>
      <c r="G202" s="11">
        <v>763.72</v>
      </c>
      <c r="H202" s="12">
        <v>49179800</v>
      </c>
      <c r="I202" s="22" t="str">
        <f t="shared" si="29"/>
        <v>-</v>
      </c>
      <c r="J202" s="13">
        <f t="shared" si="30"/>
        <v>-2.6178010471204187</v>
      </c>
      <c r="K202" s="13">
        <f t="shared" si="31"/>
        <v>8.7218826338303739</v>
      </c>
      <c r="L202" s="14" t="str">
        <f t="shared" si="26"/>
        <v>Normal</v>
      </c>
      <c r="M202" s="14" t="str">
        <f t="shared" si="27"/>
        <v>Normal</v>
      </c>
      <c r="N202" s="14" t="str">
        <f t="shared" si="28"/>
        <v>No</v>
      </c>
    </row>
    <row r="203" spans="1:14" x14ac:dyDescent="0.25">
      <c r="A203" s="9">
        <v>43747</v>
      </c>
      <c r="B203" s="10">
        <v>2019</v>
      </c>
      <c r="C203" s="11">
        <v>935</v>
      </c>
      <c r="D203" s="11">
        <v>995</v>
      </c>
      <c r="E203" s="11">
        <v>935</v>
      </c>
      <c r="F203" s="11">
        <v>990</v>
      </c>
      <c r="G203" s="11">
        <v>812.99</v>
      </c>
      <c r="H203" s="12">
        <v>139352700</v>
      </c>
      <c r="I203" s="22" t="str">
        <f t="shared" si="29"/>
        <v>+</v>
      </c>
      <c r="J203" s="13">
        <f t="shared" si="30"/>
        <v>6.4516129032258061</v>
      </c>
      <c r="K203" s="13">
        <f t="shared" si="31"/>
        <v>183.35353132790294</v>
      </c>
      <c r="L203" s="14" t="str">
        <f t="shared" si="26"/>
        <v>Sharp Price Increase</v>
      </c>
      <c r="M203" s="14" t="str">
        <f t="shared" si="27"/>
        <v>Sharp Volume Increase</v>
      </c>
      <c r="N203" s="14" t="str">
        <f t="shared" si="28"/>
        <v>Yes</v>
      </c>
    </row>
    <row r="204" spans="1:14" x14ac:dyDescent="0.25">
      <c r="A204" s="9">
        <v>43748</v>
      </c>
      <c r="B204" s="10">
        <v>2019</v>
      </c>
      <c r="C204" s="11">
        <v>995</v>
      </c>
      <c r="D204" s="11">
        <v>1015</v>
      </c>
      <c r="E204" s="11">
        <v>990</v>
      </c>
      <c r="F204" s="11">
        <v>995</v>
      </c>
      <c r="G204" s="11">
        <v>817.1</v>
      </c>
      <c r="H204" s="12">
        <v>106467700</v>
      </c>
      <c r="I204" s="22" t="str">
        <f t="shared" si="29"/>
        <v>+</v>
      </c>
      <c r="J204" s="13">
        <f t="shared" si="30"/>
        <v>0.50505050505050508</v>
      </c>
      <c r="K204" s="13">
        <f t="shared" si="31"/>
        <v>-23.598394577213071</v>
      </c>
      <c r="L204" s="14" t="str">
        <f t="shared" si="26"/>
        <v>Normal</v>
      </c>
      <c r="M204" s="14" t="str">
        <f t="shared" si="27"/>
        <v>Normal</v>
      </c>
      <c r="N204" s="14" t="str">
        <f t="shared" si="28"/>
        <v>No</v>
      </c>
    </row>
    <row r="205" spans="1:14" x14ac:dyDescent="0.25">
      <c r="A205" s="9">
        <v>43749</v>
      </c>
      <c r="B205" s="10">
        <v>2019</v>
      </c>
      <c r="C205" s="11">
        <v>995</v>
      </c>
      <c r="D205" s="11">
        <v>1025</v>
      </c>
      <c r="E205" s="11">
        <v>985</v>
      </c>
      <c r="F205" s="11">
        <v>1015</v>
      </c>
      <c r="G205" s="11">
        <v>833.52</v>
      </c>
      <c r="H205" s="12">
        <v>72275400</v>
      </c>
      <c r="I205" s="22" t="str">
        <f t="shared" si="29"/>
        <v>+</v>
      </c>
      <c r="J205" s="13">
        <f t="shared" si="30"/>
        <v>2.0100502512562812</v>
      </c>
      <c r="K205" s="13">
        <f t="shared" si="31"/>
        <v>-32.115186108087244</v>
      </c>
      <c r="L205" s="14" t="str">
        <f t="shared" si="26"/>
        <v>Normal</v>
      </c>
      <c r="M205" s="14" t="str">
        <f t="shared" si="27"/>
        <v>Normal</v>
      </c>
      <c r="N205" s="14" t="str">
        <f t="shared" si="28"/>
        <v>No</v>
      </c>
    </row>
    <row r="206" spans="1:14" x14ac:dyDescent="0.25">
      <c r="A206" s="9">
        <v>43752</v>
      </c>
      <c r="B206" s="10">
        <v>2019</v>
      </c>
      <c r="C206" s="11">
        <v>1015</v>
      </c>
      <c r="D206" s="11">
        <v>1020</v>
      </c>
      <c r="E206" s="11">
        <v>990</v>
      </c>
      <c r="F206" s="11">
        <v>1000</v>
      </c>
      <c r="G206" s="11">
        <v>821.21</v>
      </c>
      <c r="H206" s="12">
        <v>61701300</v>
      </c>
      <c r="I206" s="22" t="str">
        <f t="shared" si="29"/>
        <v>-</v>
      </c>
      <c r="J206" s="13">
        <f t="shared" si="30"/>
        <v>-1.4778325123152709</v>
      </c>
      <c r="K206" s="13">
        <f t="shared" si="31"/>
        <v>-14.630289144024108</v>
      </c>
      <c r="L206" s="14" t="str">
        <f t="shared" si="26"/>
        <v>Normal</v>
      </c>
      <c r="M206" s="14" t="str">
        <f t="shared" si="27"/>
        <v>Normal</v>
      </c>
      <c r="N206" s="14" t="str">
        <f t="shared" si="28"/>
        <v>No</v>
      </c>
    </row>
    <row r="207" spans="1:14" x14ac:dyDescent="0.25">
      <c r="A207" s="9">
        <v>43753</v>
      </c>
      <c r="B207" s="10">
        <v>2019</v>
      </c>
      <c r="C207" s="11">
        <v>990</v>
      </c>
      <c r="D207" s="11">
        <v>995</v>
      </c>
      <c r="E207" s="11">
        <v>980</v>
      </c>
      <c r="F207" s="11">
        <v>985</v>
      </c>
      <c r="G207" s="11">
        <v>808.89</v>
      </c>
      <c r="H207" s="12">
        <v>34088600</v>
      </c>
      <c r="I207" s="22" t="str">
        <f t="shared" si="29"/>
        <v>-</v>
      </c>
      <c r="J207" s="13">
        <f t="shared" si="30"/>
        <v>-1.5</v>
      </c>
      <c r="K207" s="13">
        <f t="shared" si="31"/>
        <v>-44.752217538366288</v>
      </c>
      <c r="L207" s="14" t="str">
        <f t="shared" si="26"/>
        <v>Normal</v>
      </c>
      <c r="M207" s="14" t="str">
        <f t="shared" si="27"/>
        <v>Normal</v>
      </c>
      <c r="N207" s="14" t="str">
        <f t="shared" si="28"/>
        <v>No</v>
      </c>
    </row>
    <row r="208" spans="1:14" x14ac:dyDescent="0.25">
      <c r="A208" s="9">
        <v>43754</v>
      </c>
      <c r="B208" s="10">
        <v>2019</v>
      </c>
      <c r="C208" s="11">
        <v>985</v>
      </c>
      <c r="D208" s="11">
        <v>1005</v>
      </c>
      <c r="E208" s="11">
        <v>960</v>
      </c>
      <c r="F208" s="11">
        <v>960</v>
      </c>
      <c r="G208" s="11">
        <v>788.36</v>
      </c>
      <c r="H208" s="12">
        <v>85270100</v>
      </c>
      <c r="I208" s="22" t="str">
        <f t="shared" si="29"/>
        <v>-</v>
      </c>
      <c r="J208" s="13">
        <f t="shared" si="30"/>
        <v>-2.5380710659898478</v>
      </c>
      <c r="K208" s="13">
        <f t="shared" si="31"/>
        <v>150.14256965671808</v>
      </c>
      <c r="L208" s="14" t="str">
        <f t="shared" si="26"/>
        <v>Normal</v>
      </c>
      <c r="M208" s="14" t="str">
        <f t="shared" si="27"/>
        <v>Normal</v>
      </c>
      <c r="N208" s="14" t="str">
        <f t="shared" si="28"/>
        <v>No</v>
      </c>
    </row>
    <row r="209" spans="1:14" x14ac:dyDescent="0.25">
      <c r="A209" s="9">
        <v>43755</v>
      </c>
      <c r="B209" s="10">
        <v>2019</v>
      </c>
      <c r="C209" s="11">
        <v>945</v>
      </c>
      <c r="D209" s="11">
        <v>970</v>
      </c>
      <c r="E209" s="11">
        <v>940</v>
      </c>
      <c r="F209" s="11">
        <v>955</v>
      </c>
      <c r="G209" s="11">
        <v>784.25</v>
      </c>
      <c r="H209" s="12">
        <v>57845600</v>
      </c>
      <c r="I209" s="22" t="str">
        <f t="shared" si="29"/>
        <v>-</v>
      </c>
      <c r="J209" s="13">
        <f t="shared" si="30"/>
        <v>-0.52083333333333326</v>
      </c>
      <c r="K209" s="13">
        <f t="shared" si="31"/>
        <v>-32.161918421580367</v>
      </c>
      <c r="L209" s="14" t="str">
        <f t="shared" si="26"/>
        <v>Normal</v>
      </c>
      <c r="M209" s="14" t="str">
        <f t="shared" si="27"/>
        <v>Normal</v>
      </c>
      <c r="N209" s="14" t="str">
        <f t="shared" si="28"/>
        <v>No</v>
      </c>
    </row>
    <row r="210" spans="1:14" x14ac:dyDescent="0.25">
      <c r="A210" s="9">
        <v>43756</v>
      </c>
      <c r="B210" s="10">
        <v>2019</v>
      </c>
      <c r="C210" s="11">
        <v>955</v>
      </c>
      <c r="D210" s="11">
        <v>970</v>
      </c>
      <c r="E210" s="11">
        <v>920</v>
      </c>
      <c r="F210" s="11">
        <v>935</v>
      </c>
      <c r="G210" s="11">
        <v>767.83</v>
      </c>
      <c r="H210" s="12">
        <v>125613800</v>
      </c>
      <c r="I210" s="22" t="str">
        <f t="shared" si="29"/>
        <v>-</v>
      </c>
      <c r="J210" s="13">
        <f t="shared" si="30"/>
        <v>-2.0942408376963351</v>
      </c>
      <c r="K210" s="13">
        <f t="shared" si="31"/>
        <v>117.15359508761254</v>
      </c>
      <c r="L210" s="14" t="str">
        <f t="shared" si="26"/>
        <v>Normal</v>
      </c>
      <c r="M210" s="14" t="str">
        <f t="shared" si="27"/>
        <v>Normal</v>
      </c>
      <c r="N210" s="14" t="str">
        <f t="shared" si="28"/>
        <v>No</v>
      </c>
    </row>
    <row r="211" spans="1:14" x14ac:dyDescent="0.25">
      <c r="A211" s="9">
        <v>43759</v>
      </c>
      <c r="B211" s="10">
        <v>2019</v>
      </c>
      <c r="C211" s="11">
        <v>940</v>
      </c>
      <c r="D211" s="11">
        <v>955</v>
      </c>
      <c r="E211" s="11">
        <v>920</v>
      </c>
      <c r="F211" s="11">
        <v>925</v>
      </c>
      <c r="G211" s="11">
        <v>759.62</v>
      </c>
      <c r="H211" s="12">
        <v>80512500</v>
      </c>
      <c r="I211" s="22" t="str">
        <f t="shared" si="29"/>
        <v>-</v>
      </c>
      <c r="J211" s="13">
        <f t="shared" si="30"/>
        <v>-1.0695187165775399</v>
      </c>
      <c r="K211" s="13">
        <f t="shared" si="31"/>
        <v>-35.904733397126748</v>
      </c>
      <c r="L211" s="14" t="str">
        <f t="shared" si="26"/>
        <v>Normal</v>
      </c>
      <c r="M211" s="14" t="str">
        <f t="shared" si="27"/>
        <v>Normal</v>
      </c>
      <c r="N211" s="14" t="str">
        <f t="shared" si="28"/>
        <v>No</v>
      </c>
    </row>
    <row r="212" spans="1:14" x14ac:dyDescent="0.25">
      <c r="A212" s="9">
        <v>43760</v>
      </c>
      <c r="B212" s="10">
        <v>2019</v>
      </c>
      <c r="C212" s="11">
        <v>920</v>
      </c>
      <c r="D212" s="11">
        <v>940</v>
      </c>
      <c r="E212" s="11">
        <v>915</v>
      </c>
      <c r="F212" s="11">
        <v>930</v>
      </c>
      <c r="G212" s="11">
        <v>763.72</v>
      </c>
      <c r="H212" s="12">
        <v>50069600</v>
      </c>
      <c r="I212" s="22" t="str">
        <f t="shared" si="29"/>
        <v>+</v>
      </c>
      <c r="J212" s="13">
        <f t="shared" si="30"/>
        <v>0.54054054054054057</v>
      </c>
      <c r="K212" s="13">
        <f t="shared" si="31"/>
        <v>-37.811395746002177</v>
      </c>
      <c r="L212" s="14" t="str">
        <f t="shared" si="26"/>
        <v>Normal</v>
      </c>
      <c r="M212" s="14" t="str">
        <f t="shared" si="27"/>
        <v>Normal</v>
      </c>
      <c r="N212" s="14" t="str">
        <f t="shared" si="28"/>
        <v>No</v>
      </c>
    </row>
    <row r="213" spans="1:14" x14ac:dyDescent="0.25">
      <c r="A213" s="9">
        <v>43761</v>
      </c>
      <c r="B213" s="10">
        <v>2019</v>
      </c>
      <c r="C213" s="11">
        <v>945</v>
      </c>
      <c r="D213" s="11">
        <v>955</v>
      </c>
      <c r="E213" s="11">
        <v>940</v>
      </c>
      <c r="F213" s="11">
        <v>955</v>
      </c>
      <c r="G213" s="11">
        <v>784.25</v>
      </c>
      <c r="H213" s="12">
        <v>74596500</v>
      </c>
      <c r="I213" s="22" t="str">
        <f t="shared" si="29"/>
        <v>+</v>
      </c>
      <c r="J213" s="13">
        <f t="shared" si="30"/>
        <v>2.6881720430107525</v>
      </c>
      <c r="K213" s="13">
        <f t="shared" si="31"/>
        <v>48.985612028056948</v>
      </c>
      <c r="L213" s="14" t="str">
        <f t="shared" si="26"/>
        <v>Normal</v>
      </c>
      <c r="M213" s="14" t="str">
        <f t="shared" si="27"/>
        <v>Normal</v>
      </c>
      <c r="N213" s="14" t="str">
        <f t="shared" si="28"/>
        <v>No</v>
      </c>
    </row>
    <row r="214" spans="1:14" x14ac:dyDescent="0.25">
      <c r="A214" s="9">
        <v>43762</v>
      </c>
      <c r="B214" s="10">
        <v>2019</v>
      </c>
      <c r="C214" s="11">
        <v>960</v>
      </c>
      <c r="D214" s="11">
        <v>980</v>
      </c>
      <c r="E214" s="11">
        <v>950</v>
      </c>
      <c r="F214" s="11">
        <v>975</v>
      </c>
      <c r="G214" s="11">
        <v>800.68</v>
      </c>
      <c r="H214" s="12">
        <v>108649300</v>
      </c>
      <c r="I214" s="22" t="str">
        <f t="shared" si="29"/>
        <v>+</v>
      </c>
      <c r="J214" s="13">
        <f t="shared" si="30"/>
        <v>2.0942408376963351</v>
      </c>
      <c r="K214" s="13">
        <f t="shared" si="31"/>
        <v>45.649326711038725</v>
      </c>
      <c r="L214" s="14" t="str">
        <f t="shared" si="26"/>
        <v>Normal</v>
      </c>
      <c r="M214" s="14" t="str">
        <f t="shared" si="27"/>
        <v>Normal</v>
      </c>
      <c r="N214" s="14" t="str">
        <f t="shared" si="28"/>
        <v>No</v>
      </c>
    </row>
    <row r="215" spans="1:14" x14ac:dyDescent="0.25">
      <c r="A215" s="9">
        <v>43763</v>
      </c>
      <c r="B215" s="10">
        <v>2019</v>
      </c>
      <c r="C215" s="11">
        <v>980</v>
      </c>
      <c r="D215" s="11">
        <v>985</v>
      </c>
      <c r="E215" s="11">
        <v>955</v>
      </c>
      <c r="F215" s="11">
        <v>955</v>
      </c>
      <c r="G215" s="11">
        <v>784.25</v>
      </c>
      <c r="H215" s="12">
        <v>87426200</v>
      </c>
      <c r="I215" s="22" t="str">
        <f t="shared" si="29"/>
        <v>-</v>
      </c>
      <c r="J215" s="13">
        <f t="shared" si="30"/>
        <v>-2.0512820512820511</v>
      </c>
      <c r="K215" s="13">
        <f t="shared" si="31"/>
        <v>-19.53358190066572</v>
      </c>
      <c r="L215" s="14" t="str">
        <f t="shared" si="26"/>
        <v>Normal</v>
      </c>
      <c r="M215" s="14" t="str">
        <f t="shared" si="27"/>
        <v>Normal</v>
      </c>
      <c r="N215" s="14" t="str">
        <f t="shared" si="28"/>
        <v>No</v>
      </c>
    </row>
    <row r="216" spans="1:14" x14ac:dyDescent="0.25">
      <c r="A216" s="9">
        <v>43766</v>
      </c>
      <c r="B216" s="10">
        <v>2019</v>
      </c>
      <c r="C216" s="11">
        <v>950</v>
      </c>
      <c r="D216" s="11">
        <v>950</v>
      </c>
      <c r="E216" s="11">
        <v>910</v>
      </c>
      <c r="F216" s="11">
        <v>915</v>
      </c>
      <c r="G216" s="11">
        <v>751.4</v>
      </c>
      <c r="H216" s="12">
        <v>177588400</v>
      </c>
      <c r="I216" s="22" t="str">
        <f t="shared" si="29"/>
        <v>-</v>
      </c>
      <c r="J216" s="13">
        <f t="shared" si="30"/>
        <v>-4.1884816753926701</v>
      </c>
      <c r="K216" s="13">
        <f t="shared" si="31"/>
        <v>103.12949664974573</v>
      </c>
      <c r="L216" s="14" t="str">
        <f t="shared" si="26"/>
        <v>Normal</v>
      </c>
      <c r="M216" s="14" t="str">
        <f t="shared" si="27"/>
        <v>Normal</v>
      </c>
      <c r="N216" s="14" t="str">
        <f t="shared" si="28"/>
        <v>No</v>
      </c>
    </row>
    <row r="217" spans="1:14" x14ac:dyDescent="0.25">
      <c r="A217" s="9">
        <v>43767</v>
      </c>
      <c r="B217" s="10">
        <v>2019</v>
      </c>
      <c r="C217" s="11">
        <v>925</v>
      </c>
      <c r="D217" s="11">
        <v>945</v>
      </c>
      <c r="E217" s="11">
        <v>920</v>
      </c>
      <c r="F217" s="11">
        <v>925</v>
      </c>
      <c r="G217" s="11">
        <v>759.62</v>
      </c>
      <c r="H217" s="12">
        <v>133909400</v>
      </c>
      <c r="I217" s="22" t="str">
        <f t="shared" si="29"/>
        <v>+</v>
      </c>
      <c r="J217" s="13">
        <f t="shared" si="30"/>
        <v>1.0928961748633881</v>
      </c>
      <c r="K217" s="13">
        <f t="shared" si="31"/>
        <v>-24.595638003383105</v>
      </c>
      <c r="L217" s="14" t="str">
        <f t="shared" si="26"/>
        <v>Normal</v>
      </c>
      <c r="M217" s="14" t="str">
        <f t="shared" si="27"/>
        <v>Normal</v>
      </c>
      <c r="N217" s="14" t="str">
        <f t="shared" si="28"/>
        <v>No</v>
      </c>
    </row>
    <row r="218" spans="1:14" x14ac:dyDescent="0.25">
      <c r="A218" s="9">
        <v>43768</v>
      </c>
      <c r="B218" s="10">
        <v>2019</v>
      </c>
      <c r="C218" s="11">
        <v>930</v>
      </c>
      <c r="D218" s="11">
        <v>940</v>
      </c>
      <c r="E218" s="11">
        <v>925</v>
      </c>
      <c r="F218" s="11">
        <v>930</v>
      </c>
      <c r="G218" s="11">
        <v>763.72</v>
      </c>
      <c r="H218" s="12">
        <v>69322000</v>
      </c>
      <c r="I218" s="22" t="str">
        <f t="shared" si="29"/>
        <v>+</v>
      </c>
      <c r="J218" s="13">
        <f t="shared" si="30"/>
        <v>0.54054054054054057</v>
      </c>
      <c r="K218" s="13">
        <f t="shared" si="31"/>
        <v>-48.232162940017652</v>
      </c>
      <c r="L218" s="14" t="str">
        <f t="shared" si="26"/>
        <v>Normal</v>
      </c>
      <c r="M218" s="14" t="str">
        <f t="shared" si="27"/>
        <v>Normal</v>
      </c>
      <c r="N218" s="14" t="str">
        <f t="shared" si="28"/>
        <v>No</v>
      </c>
    </row>
    <row r="219" spans="1:14" x14ac:dyDescent="0.25">
      <c r="A219" s="9">
        <v>43769</v>
      </c>
      <c r="B219" s="10">
        <v>2019</v>
      </c>
      <c r="C219" s="11">
        <v>935</v>
      </c>
      <c r="D219" s="11">
        <v>935</v>
      </c>
      <c r="E219" s="11">
        <v>885</v>
      </c>
      <c r="F219" s="11">
        <v>890</v>
      </c>
      <c r="G219" s="11">
        <v>730.87</v>
      </c>
      <c r="H219" s="12">
        <v>126383800</v>
      </c>
      <c r="I219" s="22" t="str">
        <f t="shared" si="29"/>
        <v>-</v>
      </c>
      <c r="J219" s="13">
        <f t="shared" si="30"/>
        <v>-4.3010752688172049</v>
      </c>
      <c r="K219" s="13">
        <f t="shared" si="31"/>
        <v>82.314128270967373</v>
      </c>
      <c r="L219" s="14" t="str">
        <f t="shared" si="26"/>
        <v>Sharp Price Decrease</v>
      </c>
      <c r="M219" s="14" t="str">
        <f t="shared" si="27"/>
        <v>Normal</v>
      </c>
      <c r="N219" s="14" t="str">
        <f t="shared" si="28"/>
        <v>No</v>
      </c>
    </row>
    <row r="220" spans="1:14" x14ac:dyDescent="0.25">
      <c r="A220" s="9">
        <v>43770</v>
      </c>
      <c r="B220" s="10">
        <v>2019</v>
      </c>
      <c r="C220" s="11">
        <v>900</v>
      </c>
      <c r="D220" s="11">
        <v>905</v>
      </c>
      <c r="E220" s="11">
        <v>850</v>
      </c>
      <c r="F220" s="11">
        <v>855</v>
      </c>
      <c r="G220" s="11">
        <v>702.13</v>
      </c>
      <c r="H220" s="12">
        <v>118830800</v>
      </c>
      <c r="I220" s="22" t="str">
        <f t="shared" si="29"/>
        <v>-</v>
      </c>
      <c r="J220" s="13">
        <f t="shared" si="30"/>
        <v>-3.9325842696629212</v>
      </c>
      <c r="K220" s="13">
        <f t="shared" si="31"/>
        <v>-5.9762406257764047</v>
      </c>
      <c r="L220" s="14" t="str">
        <f t="shared" si="26"/>
        <v>Normal</v>
      </c>
      <c r="M220" s="14" t="str">
        <f t="shared" si="27"/>
        <v>Normal</v>
      </c>
      <c r="N220" s="14" t="str">
        <f t="shared" si="28"/>
        <v>No</v>
      </c>
    </row>
    <row r="221" spans="1:14" x14ac:dyDescent="0.25">
      <c r="A221" s="9">
        <v>43773</v>
      </c>
      <c r="B221" s="10">
        <v>2019</v>
      </c>
      <c r="C221" s="11">
        <v>855</v>
      </c>
      <c r="D221" s="11">
        <v>865</v>
      </c>
      <c r="E221" s="11">
        <v>810</v>
      </c>
      <c r="F221" s="11">
        <v>840</v>
      </c>
      <c r="G221" s="11">
        <v>689.81</v>
      </c>
      <c r="H221" s="12">
        <v>148393600</v>
      </c>
      <c r="I221" s="22" t="str">
        <f t="shared" si="29"/>
        <v>-</v>
      </c>
      <c r="J221" s="13">
        <f t="shared" si="30"/>
        <v>-1.7543859649122806</v>
      </c>
      <c r="K221" s="13">
        <f t="shared" si="31"/>
        <v>24.878061916607479</v>
      </c>
      <c r="L221" s="14" t="str">
        <f t="shared" si="26"/>
        <v>Normal</v>
      </c>
      <c r="M221" s="14" t="str">
        <f t="shared" si="27"/>
        <v>Normal</v>
      </c>
      <c r="N221" s="14" t="str">
        <f t="shared" si="28"/>
        <v>No</v>
      </c>
    </row>
    <row r="222" spans="1:14" x14ac:dyDescent="0.25">
      <c r="A222" s="9">
        <v>43774</v>
      </c>
      <c r="B222" s="10">
        <v>2019</v>
      </c>
      <c r="C222" s="11">
        <v>830</v>
      </c>
      <c r="D222" s="11">
        <v>850</v>
      </c>
      <c r="E222" s="11">
        <v>820</v>
      </c>
      <c r="F222" s="11">
        <v>835</v>
      </c>
      <c r="G222" s="11">
        <v>685.71</v>
      </c>
      <c r="H222" s="12">
        <v>80390400</v>
      </c>
      <c r="I222" s="22" t="str">
        <f t="shared" si="29"/>
        <v>-</v>
      </c>
      <c r="J222" s="13">
        <f t="shared" si="30"/>
        <v>-0.59523809523809523</v>
      </c>
      <c r="K222" s="13">
        <f t="shared" si="31"/>
        <v>-45.826235093696766</v>
      </c>
      <c r="L222" s="14" t="str">
        <f t="shared" si="26"/>
        <v>Normal</v>
      </c>
      <c r="M222" s="14" t="str">
        <f t="shared" si="27"/>
        <v>Normal</v>
      </c>
      <c r="N222" s="14" t="str">
        <f t="shared" si="28"/>
        <v>No</v>
      </c>
    </row>
    <row r="223" spans="1:14" x14ac:dyDescent="0.25">
      <c r="A223" s="9">
        <v>43775</v>
      </c>
      <c r="B223" s="10">
        <v>2019</v>
      </c>
      <c r="C223" s="11">
        <v>840</v>
      </c>
      <c r="D223" s="11">
        <v>870</v>
      </c>
      <c r="E223" s="11">
        <v>825</v>
      </c>
      <c r="F223" s="11">
        <v>850</v>
      </c>
      <c r="G223" s="11">
        <v>698.03</v>
      </c>
      <c r="H223" s="12">
        <v>109181300</v>
      </c>
      <c r="I223" s="22" t="str">
        <f t="shared" si="29"/>
        <v>+</v>
      </c>
      <c r="J223" s="13">
        <f t="shared" si="30"/>
        <v>1.7964071856287425</v>
      </c>
      <c r="K223" s="13">
        <f t="shared" si="31"/>
        <v>35.8138533954303</v>
      </c>
      <c r="L223" s="14" t="str">
        <f t="shared" si="26"/>
        <v>Normal</v>
      </c>
      <c r="M223" s="14" t="str">
        <f t="shared" si="27"/>
        <v>Normal</v>
      </c>
      <c r="N223" s="14" t="str">
        <f t="shared" si="28"/>
        <v>No</v>
      </c>
    </row>
    <row r="224" spans="1:14" x14ac:dyDescent="0.25">
      <c r="A224" s="9">
        <v>43776</v>
      </c>
      <c r="B224" s="10">
        <v>2019</v>
      </c>
      <c r="C224" s="11">
        <v>855</v>
      </c>
      <c r="D224" s="11">
        <v>860</v>
      </c>
      <c r="E224" s="11">
        <v>830</v>
      </c>
      <c r="F224" s="11">
        <v>845</v>
      </c>
      <c r="G224" s="11">
        <v>693.92</v>
      </c>
      <c r="H224" s="12">
        <v>53514100</v>
      </c>
      <c r="I224" s="22" t="str">
        <f t="shared" si="29"/>
        <v>-</v>
      </c>
      <c r="J224" s="13">
        <f t="shared" si="30"/>
        <v>-0.58823529411764708</v>
      </c>
      <c r="K224" s="13">
        <f t="shared" si="31"/>
        <v>-50.986020499847506</v>
      </c>
      <c r="L224" s="14" t="str">
        <f t="shared" si="26"/>
        <v>Normal</v>
      </c>
      <c r="M224" s="14" t="str">
        <f t="shared" si="27"/>
        <v>Normal</v>
      </c>
      <c r="N224" s="14" t="str">
        <f t="shared" si="28"/>
        <v>No</v>
      </c>
    </row>
    <row r="225" spans="1:14" x14ac:dyDescent="0.25">
      <c r="A225" s="9">
        <v>43777</v>
      </c>
      <c r="B225" s="10">
        <v>2019</v>
      </c>
      <c r="C225" s="11">
        <v>840</v>
      </c>
      <c r="D225" s="11">
        <v>855</v>
      </c>
      <c r="E225" s="11">
        <v>825</v>
      </c>
      <c r="F225" s="11">
        <v>835</v>
      </c>
      <c r="G225" s="11">
        <v>685.71</v>
      </c>
      <c r="H225" s="12">
        <v>41949800</v>
      </c>
      <c r="I225" s="22" t="str">
        <f t="shared" si="29"/>
        <v>-</v>
      </c>
      <c r="J225" s="13">
        <f t="shared" si="30"/>
        <v>-1.1834319526627219</v>
      </c>
      <c r="K225" s="13">
        <f t="shared" si="31"/>
        <v>-21.609818720673619</v>
      </c>
      <c r="L225" s="14" t="str">
        <f t="shared" si="26"/>
        <v>Normal</v>
      </c>
      <c r="M225" s="14" t="str">
        <f t="shared" si="27"/>
        <v>Normal</v>
      </c>
      <c r="N225" s="14" t="str">
        <f t="shared" si="28"/>
        <v>No</v>
      </c>
    </row>
    <row r="226" spans="1:14" x14ac:dyDescent="0.25">
      <c r="A226" s="9">
        <v>43780</v>
      </c>
      <c r="B226" s="10">
        <v>2019</v>
      </c>
      <c r="C226" s="11">
        <v>830</v>
      </c>
      <c r="D226" s="11">
        <v>840</v>
      </c>
      <c r="E226" s="11">
        <v>820</v>
      </c>
      <c r="F226" s="11">
        <v>830</v>
      </c>
      <c r="G226" s="11">
        <v>681.6</v>
      </c>
      <c r="H226" s="12">
        <v>28520100</v>
      </c>
      <c r="I226" s="22" t="str">
        <f t="shared" si="29"/>
        <v>-</v>
      </c>
      <c r="J226" s="13">
        <f t="shared" si="30"/>
        <v>-0.5988023952095809</v>
      </c>
      <c r="K226" s="13">
        <f t="shared" si="31"/>
        <v>-32.013740232372982</v>
      </c>
      <c r="L226" s="14" t="str">
        <f t="shared" si="26"/>
        <v>Normal</v>
      </c>
      <c r="M226" s="14" t="str">
        <f t="shared" si="27"/>
        <v>Normal</v>
      </c>
      <c r="N226" s="14" t="str">
        <f t="shared" si="28"/>
        <v>No</v>
      </c>
    </row>
    <row r="227" spans="1:14" x14ac:dyDescent="0.25">
      <c r="A227" s="9">
        <v>43781</v>
      </c>
      <c r="B227" s="10">
        <v>2019</v>
      </c>
      <c r="C227" s="11">
        <v>815</v>
      </c>
      <c r="D227" s="11">
        <v>825</v>
      </c>
      <c r="E227" s="11">
        <v>800</v>
      </c>
      <c r="F227" s="11">
        <v>820</v>
      </c>
      <c r="G227" s="11">
        <v>673.39</v>
      </c>
      <c r="H227" s="12">
        <v>66391100</v>
      </c>
      <c r="I227" s="22" t="str">
        <f t="shared" si="29"/>
        <v>-</v>
      </c>
      <c r="J227" s="13">
        <f t="shared" si="30"/>
        <v>-1.2048192771084338</v>
      </c>
      <c r="K227" s="13">
        <f t="shared" si="31"/>
        <v>132.78705193880808</v>
      </c>
      <c r="L227" s="14" t="str">
        <f t="shared" si="26"/>
        <v>Normal</v>
      </c>
      <c r="M227" s="14" t="str">
        <f t="shared" si="27"/>
        <v>Normal</v>
      </c>
      <c r="N227" s="14" t="str">
        <f t="shared" si="28"/>
        <v>No</v>
      </c>
    </row>
    <row r="228" spans="1:14" x14ac:dyDescent="0.25">
      <c r="A228" s="9">
        <v>43782</v>
      </c>
      <c r="B228" s="10">
        <v>2019</v>
      </c>
      <c r="C228" s="11">
        <v>830</v>
      </c>
      <c r="D228" s="11">
        <v>835</v>
      </c>
      <c r="E228" s="11">
        <v>815</v>
      </c>
      <c r="F228" s="11">
        <v>820</v>
      </c>
      <c r="G228" s="11">
        <v>673.39</v>
      </c>
      <c r="H228" s="12">
        <v>43113100</v>
      </c>
      <c r="I228" s="22" t="str">
        <f t="shared" si="29"/>
        <v>0</v>
      </c>
      <c r="J228" s="13">
        <f t="shared" si="30"/>
        <v>0</v>
      </c>
      <c r="K228" s="13">
        <f t="shared" si="31"/>
        <v>-35.061928481377777</v>
      </c>
      <c r="L228" s="14" t="str">
        <f t="shared" si="26"/>
        <v>Normal</v>
      </c>
      <c r="M228" s="14" t="str">
        <f t="shared" si="27"/>
        <v>Normal</v>
      </c>
      <c r="N228" s="14" t="str">
        <f t="shared" si="28"/>
        <v>No</v>
      </c>
    </row>
    <row r="229" spans="1:14" x14ac:dyDescent="0.25">
      <c r="A229" s="9">
        <v>43783</v>
      </c>
      <c r="B229" s="10">
        <v>2019</v>
      </c>
      <c r="C229" s="11">
        <v>820</v>
      </c>
      <c r="D229" s="11">
        <v>830</v>
      </c>
      <c r="E229" s="11">
        <v>800</v>
      </c>
      <c r="F229" s="11">
        <v>815</v>
      </c>
      <c r="G229" s="11">
        <v>669.28</v>
      </c>
      <c r="H229" s="12">
        <v>49980300</v>
      </c>
      <c r="I229" s="22" t="str">
        <f t="shared" si="29"/>
        <v>-</v>
      </c>
      <c r="J229" s="13">
        <f t="shared" si="30"/>
        <v>-0.6097560975609756</v>
      </c>
      <c r="K229" s="13">
        <f t="shared" si="31"/>
        <v>15.928337326705805</v>
      </c>
      <c r="L229" s="14" t="str">
        <f t="shared" si="26"/>
        <v>Normal</v>
      </c>
      <c r="M229" s="14" t="str">
        <f t="shared" si="27"/>
        <v>Normal</v>
      </c>
      <c r="N229" s="14" t="str">
        <f t="shared" si="28"/>
        <v>No</v>
      </c>
    </row>
    <row r="230" spans="1:14" x14ac:dyDescent="0.25">
      <c r="A230" s="9">
        <v>43784</v>
      </c>
      <c r="B230" s="10">
        <v>2019</v>
      </c>
      <c r="C230" s="11">
        <v>810</v>
      </c>
      <c r="D230" s="11">
        <v>835</v>
      </c>
      <c r="E230" s="11">
        <v>810</v>
      </c>
      <c r="F230" s="11">
        <v>825</v>
      </c>
      <c r="G230" s="11">
        <v>677.5</v>
      </c>
      <c r="H230" s="12">
        <v>44594900</v>
      </c>
      <c r="I230" s="22" t="str">
        <f t="shared" si="29"/>
        <v>+</v>
      </c>
      <c r="J230" s="13">
        <f t="shared" si="30"/>
        <v>1.2269938650306749</v>
      </c>
      <c r="K230" s="13">
        <f t="shared" si="31"/>
        <v>-10.775045367874943</v>
      </c>
      <c r="L230" s="14" t="str">
        <f t="shared" si="26"/>
        <v>Normal</v>
      </c>
      <c r="M230" s="14" t="str">
        <f t="shared" si="27"/>
        <v>Normal</v>
      </c>
      <c r="N230" s="14" t="str">
        <f t="shared" si="28"/>
        <v>No</v>
      </c>
    </row>
    <row r="231" spans="1:14" x14ac:dyDescent="0.25">
      <c r="A231" s="9">
        <v>43787</v>
      </c>
      <c r="B231" s="10">
        <v>2019</v>
      </c>
      <c r="C231" s="11">
        <v>825</v>
      </c>
      <c r="D231" s="11">
        <v>830</v>
      </c>
      <c r="E231" s="11">
        <v>815</v>
      </c>
      <c r="F231" s="11">
        <v>820</v>
      </c>
      <c r="G231" s="11">
        <v>673.39</v>
      </c>
      <c r="H231" s="12">
        <v>24328500</v>
      </c>
      <c r="I231" s="22" t="str">
        <f t="shared" si="29"/>
        <v>-</v>
      </c>
      <c r="J231" s="13">
        <f t="shared" si="30"/>
        <v>-0.60606060606060608</v>
      </c>
      <c r="K231" s="13">
        <f t="shared" si="31"/>
        <v>-45.445555433468847</v>
      </c>
      <c r="L231" s="14" t="str">
        <f t="shared" si="26"/>
        <v>Normal</v>
      </c>
      <c r="M231" s="14" t="str">
        <f t="shared" si="27"/>
        <v>Normal</v>
      </c>
      <c r="N231" s="14" t="str">
        <f t="shared" si="28"/>
        <v>No</v>
      </c>
    </row>
    <row r="232" spans="1:14" x14ac:dyDescent="0.25">
      <c r="A232" s="9">
        <v>43788</v>
      </c>
      <c r="B232" s="10">
        <v>2019</v>
      </c>
      <c r="C232" s="11">
        <v>820</v>
      </c>
      <c r="D232" s="11">
        <v>835</v>
      </c>
      <c r="E232" s="11">
        <v>815</v>
      </c>
      <c r="F232" s="11">
        <v>835</v>
      </c>
      <c r="G232" s="11">
        <v>685.71</v>
      </c>
      <c r="H232" s="12">
        <v>35948500</v>
      </c>
      <c r="I232" s="22" t="str">
        <f t="shared" si="29"/>
        <v>+</v>
      </c>
      <c r="J232" s="13">
        <f t="shared" si="30"/>
        <v>1.8292682926829267</v>
      </c>
      <c r="K232" s="13">
        <f t="shared" si="31"/>
        <v>47.762911811250177</v>
      </c>
      <c r="L232" s="14" t="str">
        <f t="shared" si="26"/>
        <v>Normal</v>
      </c>
      <c r="M232" s="14" t="str">
        <f t="shared" si="27"/>
        <v>Normal</v>
      </c>
      <c r="N232" s="14" t="str">
        <f t="shared" si="28"/>
        <v>No</v>
      </c>
    </row>
    <row r="233" spans="1:14" x14ac:dyDescent="0.25">
      <c r="A233" s="9">
        <v>43789</v>
      </c>
      <c r="B233" s="10">
        <v>2019</v>
      </c>
      <c r="C233" s="11">
        <v>840</v>
      </c>
      <c r="D233" s="11">
        <v>845</v>
      </c>
      <c r="E233" s="11">
        <v>820</v>
      </c>
      <c r="F233" s="11">
        <v>825</v>
      </c>
      <c r="G233" s="11">
        <v>677.5</v>
      </c>
      <c r="H233" s="12">
        <v>38079700</v>
      </c>
      <c r="I233" s="22" t="str">
        <f t="shared" si="29"/>
        <v>-</v>
      </c>
      <c r="J233" s="13">
        <f t="shared" si="30"/>
        <v>-1.1976047904191618</v>
      </c>
      <c r="K233" s="13">
        <f t="shared" si="31"/>
        <v>5.9284810214612573</v>
      </c>
      <c r="L233" s="14" t="str">
        <f t="shared" si="26"/>
        <v>Normal</v>
      </c>
      <c r="M233" s="14" t="str">
        <f t="shared" si="27"/>
        <v>Normal</v>
      </c>
      <c r="N233" s="14" t="str">
        <f t="shared" si="28"/>
        <v>No</v>
      </c>
    </row>
    <row r="234" spans="1:14" x14ac:dyDescent="0.25">
      <c r="A234" s="9">
        <v>43790</v>
      </c>
      <c r="B234" s="10">
        <v>2019</v>
      </c>
      <c r="C234" s="11">
        <v>820</v>
      </c>
      <c r="D234" s="11">
        <v>830</v>
      </c>
      <c r="E234" s="11">
        <v>810</v>
      </c>
      <c r="F234" s="11">
        <v>815</v>
      </c>
      <c r="G234" s="11">
        <v>669.28</v>
      </c>
      <c r="H234" s="12">
        <v>35867700</v>
      </c>
      <c r="I234" s="22" t="str">
        <f t="shared" si="29"/>
        <v>-</v>
      </c>
      <c r="J234" s="13">
        <f t="shared" si="30"/>
        <v>-1.2121212121212122</v>
      </c>
      <c r="K234" s="13">
        <f t="shared" si="31"/>
        <v>-5.8088692925627035</v>
      </c>
      <c r="L234" s="14" t="str">
        <f t="shared" si="26"/>
        <v>Normal</v>
      </c>
      <c r="M234" s="14" t="str">
        <f t="shared" si="27"/>
        <v>Normal</v>
      </c>
      <c r="N234" s="14" t="str">
        <f t="shared" si="28"/>
        <v>No</v>
      </c>
    </row>
    <row r="235" spans="1:14" x14ac:dyDescent="0.25">
      <c r="A235" s="9">
        <v>43791</v>
      </c>
      <c r="B235" s="10">
        <v>2019</v>
      </c>
      <c r="C235" s="11">
        <v>820</v>
      </c>
      <c r="D235" s="11">
        <v>825</v>
      </c>
      <c r="E235" s="11">
        <v>805</v>
      </c>
      <c r="F235" s="11">
        <v>810</v>
      </c>
      <c r="G235" s="11">
        <v>665.18</v>
      </c>
      <c r="H235" s="12">
        <v>27803700</v>
      </c>
      <c r="I235" s="22" t="str">
        <f t="shared" si="29"/>
        <v>-</v>
      </c>
      <c r="J235" s="13">
        <f t="shared" si="30"/>
        <v>-0.61349693251533743</v>
      </c>
      <c r="K235" s="13">
        <f t="shared" si="31"/>
        <v>-22.482623641883922</v>
      </c>
      <c r="L235" s="14" t="str">
        <f t="shared" si="26"/>
        <v>Normal</v>
      </c>
      <c r="M235" s="14" t="str">
        <f t="shared" si="27"/>
        <v>Normal</v>
      </c>
      <c r="N235" s="14" t="str">
        <f t="shared" si="28"/>
        <v>No</v>
      </c>
    </row>
    <row r="236" spans="1:14" x14ac:dyDescent="0.25">
      <c r="A236" s="9">
        <v>43794</v>
      </c>
      <c r="B236" s="10">
        <v>2019</v>
      </c>
      <c r="C236" s="11">
        <v>810</v>
      </c>
      <c r="D236" s="11">
        <v>820</v>
      </c>
      <c r="E236" s="11">
        <v>805</v>
      </c>
      <c r="F236" s="11">
        <v>815</v>
      </c>
      <c r="G236" s="11">
        <v>669.28</v>
      </c>
      <c r="H236" s="12">
        <v>19463000</v>
      </c>
      <c r="I236" s="22" t="str">
        <f t="shared" si="29"/>
        <v>+</v>
      </c>
      <c r="J236" s="13">
        <f t="shared" si="30"/>
        <v>0.61728395061728392</v>
      </c>
      <c r="K236" s="13">
        <f t="shared" si="31"/>
        <v>-29.998525376119005</v>
      </c>
      <c r="L236" s="14" t="str">
        <f t="shared" si="26"/>
        <v>Normal</v>
      </c>
      <c r="M236" s="14" t="str">
        <f t="shared" si="27"/>
        <v>Normal</v>
      </c>
      <c r="N236" s="14" t="str">
        <f t="shared" si="28"/>
        <v>No</v>
      </c>
    </row>
    <row r="237" spans="1:14" x14ac:dyDescent="0.25">
      <c r="A237" s="9">
        <v>43795</v>
      </c>
      <c r="B237" s="10">
        <v>2019</v>
      </c>
      <c r="C237" s="11">
        <v>820</v>
      </c>
      <c r="D237" s="11">
        <v>820</v>
      </c>
      <c r="E237" s="11">
        <v>800</v>
      </c>
      <c r="F237" s="11">
        <v>810</v>
      </c>
      <c r="G237" s="11">
        <v>665.18</v>
      </c>
      <c r="H237" s="12">
        <v>35581900</v>
      </c>
      <c r="I237" s="22" t="str">
        <f t="shared" si="29"/>
        <v>-</v>
      </c>
      <c r="J237" s="13">
        <f t="shared" si="30"/>
        <v>-0.61349693251533743</v>
      </c>
      <c r="K237" s="13">
        <f t="shared" si="31"/>
        <v>82.818167805579819</v>
      </c>
      <c r="L237" s="14" t="str">
        <f t="shared" si="26"/>
        <v>Normal</v>
      </c>
      <c r="M237" s="14" t="str">
        <f t="shared" si="27"/>
        <v>Normal</v>
      </c>
      <c r="N237" s="14" t="str">
        <f t="shared" si="28"/>
        <v>No</v>
      </c>
    </row>
    <row r="238" spans="1:14" x14ac:dyDescent="0.25">
      <c r="A238" s="9">
        <v>43796</v>
      </c>
      <c r="B238" s="10">
        <v>2019</v>
      </c>
      <c r="C238" s="11">
        <v>810</v>
      </c>
      <c r="D238" s="11">
        <v>815</v>
      </c>
      <c r="E238" s="11">
        <v>775</v>
      </c>
      <c r="F238" s="11">
        <v>780</v>
      </c>
      <c r="G238" s="11">
        <v>640.54</v>
      </c>
      <c r="H238" s="12">
        <v>53831000</v>
      </c>
      <c r="I238" s="22" t="str">
        <f t="shared" si="29"/>
        <v>-</v>
      </c>
      <c r="J238" s="13">
        <f t="shared" si="30"/>
        <v>-3.7037037037037033</v>
      </c>
      <c r="K238" s="13">
        <f t="shared" si="31"/>
        <v>51.287592849173315</v>
      </c>
      <c r="L238" s="14" t="str">
        <f t="shared" si="26"/>
        <v>Normal</v>
      </c>
      <c r="M238" s="14" t="str">
        <f t="shared" si="27"/>
        <v>Normal</v>
      </c>
      <c r="N238" s="14" t="str">
        <f t="shared" si="28"/>
        <v>No</v>
      </c>
    </row>
    <row r="239" spans="1:14" x14ac:dyDescent="0.25">
      <c r="A239" s="9">
        <v>43797</v>
      </c>
      <c r="B239" s="10">
        <v>2019</v>
      </c>
      <c r="C239" s="11">
        <v>780</v>
      </c>
      <c r="D239" s="11">
        <v>780</v>
      </c>
      <c r="E239" s="11">
        <v>745</v>
      </c>
      <c r="F239" s="11">
        <v>750</v>
      </c>
      <c r="G239" s="11">
        <v>615.9</v>
      </c>
      <c r="H239" s="12">
        <v>56329600</v>
      </c>
      <c r="I239" s="22" t="str">
        <f t="shared" si="29"/>
        <v>-</v>
      </c>
      <c r="J239" s="13">
        <f t="shared" si="30"/>
        <v>-3.8461538461538463</v>
      </c>
      <c r="K239" s="13">
        <f t="shared" si="31"/>
        <v>4.6415634114172137</v>
      </c>
      <c r="L239" s="14" t="str">
        <f t="shared" si="26"/>
        <v>Normal</v>
      </c>
      <c r="M239" s="14" t="str">
        <f t="shared" si="27"/>
        <v>Normal</v>
      </c>
      <c r="N239" s="14" t="str">
        <f t="shared" si="28"/>
        <v>No</v>
      </c>
    </row>
    <row r="240" spans="1:14" x14ac:dyDescent="0.25">
      <c r="A240" s="9">
        <v>43798</v>
      </c>
      <c r="B240" s="10">
        <v>2019</v>
      </c>
      <c r="C240" s="11">
        <v>750</v>
      </c>
      <c r="D240" s="11">
        <v>765</v>
      </c>
      <c r="E240" s="11">
        <v>735</v>
      </c>
      <c r="F240" s="11">
        <v>750</v>
      </c>
      <c r="G240" s="11">
        <v>615.9</v>
      </c>
      <c r="H240" s="12">
        <v>46034900</v>
      </c>
      <c r="I240" s="22" t="str">
        <f t="shared" si="29"/>
        <v>0</v>
      </c>
      <c r="J240" s="13">
        <f t="shared" si="30"/>
        <v>0</v>
      </c>
      <c r="K240" s="13">
        <f t="shared" si="31"/>
        <v>-18.275826563653922</v>
      </c>
      <c r="L240" s="14" t="str">
        <f t="shared" si="26"/>
        <v>Normal</v>
      </c>
      <c r="M240" s="14" t="str">
        <f t="shared" si="27"/>
        <v>Normal</v>
      </c>
      <c r="N240" s="14" t="str">
        <f t="shared" si="28"/>
        <v>No</v>
      </c>
    </row>
    <row r="241" spans="1:14" x14ac:dyDescent="0.25">
      <c r="A241" s="9">
        <v>43801</v>
      </c>
      <c r="B241" s="10">
        <v>2019</v>
      </c>
      <c r="C241" s="11">
        <v>740</v>
      </c>
      <c r="D241" s="11">
        <v>805</v>
      </c>
      <c r="E241" s="11">
        <v>740</v>
      </c>
      <c r="F241" s="11">
        <v>790</v>
      </c>
      <c r="G241" s="11">
        <v>648.75</v>
      </c>
      <c r="H241" s="12">
        <v>68015300</v>
      </c>
      <c r="I241" s="22" t="str">
        <f t="shared" si="29"/>
        <v>+</v>
      </c>
      <c r="J241" s="13">
        <f t="shared" si="30"/>
        <v>5.3333333333333339</v>
      </c>
      <c r="K241" s="13">
        <f t="shared" si="31"/>
        <v>47.747252627897531</v>
      </c>
      <c r="L241" s="14" t="str">
        <f t="shared" si="26"/>
        <v>Normal</v>
      </c>
      <c r="M241" s="14" t="str">
        <f t="shared" si="27"/>
        <v>Normal</v>
      </c>
      <c r="N241" s="14" t="str">
        <f t="shared" si="28"/>
        <v>No</v>
      </c>
    </row>
    <row r="242" spans="1:14" x14ac:dyDescent="0.25">
      <c r="A242" s="9">
        <v>43802</v>
      </c>
      <c r="B242" s="10">
        <v>2019</v>
      </c>
      <c r="C242" s="11">
        <v>785</v>
      </c>
      <c r="D242" s="11">
        <v>800</v>
      </c>
      <c r="E242" s="11">
        <v>770</v>
      </c>
      <c r="F242" s="11">
        <v>775</v>
      </c>
      <c r="G242" s="11">
        <v>636.42999999999995</v>
      </c>
      <c r="H242" s="12">
        <v>51903700</v>
      </c>
      <c r="I242" s="22" t="str">
        <f t="shared" si="29"/>
        <v>-</v>
      </c>
      <c r="J242" s="13">
        <f t="shared" si="30"/>
        <v>-1.89873417721519</v>
      </c>
      <c r="K242" s="13">
        <f t="shared" si="31"/>
        <v>-23.68819956686216</v>
      </c>
      <c r="L242" s="14" t="str">
        <f t="shared" si="26"/>
        <v>Normal</v>
      </c>
      <c r="M242" s="14" t="str">
        <f t="shared" si="27"/>
        <v>Normal</v>
      </c>
      <c r="N242" s="14" t="str">
        <f t="shared" si="28"/>
        <v>No</v>
      </c>
    </row>
    <row r="243" spans="1:14" x14ac:dyDescent="0.25">
      <c r="A243" s="9">
        <v>43803</v>
      </c>
      <c r="B243" s="10">
        <v>2019</v>
      </c>
      <c r="C243" s="11">
        <v>775</v>
      </c>
      <c r="D243" s="11">
        <v>790</v>
      </c>
      <c r="E243" s="11">
        <v>770</v>
      </c>
      <c r="F243" s="11">
        <v>785</v>
      </c>
      <c r="G243" s="11">
        <v>644.65</v>
      </c>
      <c r="H243" s="12">
        <v>36996800</v>
      </c>
      <c r="I243" s="22" t="str">
        <f t="shared" si="29"/>
        <v>+</v>
      </c>
      <c r="J243" s="13">
        <f t="shared" si="30"/>
        <v>1.2903225806451613</v>
      </c>
      <c r="K243" s="13">
        <f t="shared" si="31"/>
        <v>-28.720303176844808</v>
      </c>
      <c r="L243" s="14" t="str">
        <f t="shared" si="26"/>
        <v>Normal</v>
      </c>
      <c r="M243" s="14" t="str">
        <f t="shared" si="27"/>
        <v>Normal</v>
      </c>
      <c r="N243" s="14" t="str">
        <f t="shared" si="28"/>
        <v>No</v>
      </c>
    </row>
    <row r="244" spans="1:14" x14ac:dyDescent="0.25">
      <c r="A244" s="9">
        <v>43804</v>
      </c>
      <c r="B244" s="10">
        <v>2019</v>
      </c>
      <c r="C244" s="11">
        <v>785</v>
      </c>
      <c r="D244" s="11">
        <v>815</v>
      </c>
      <c r="E244" s="11">
        <v>785</v>
      </c>
      <c r="F244" s="11">
        <v>805</v>
      </c>
      <c r="G244" s="11">
        <v>661.07</v>
      </c>
      <c r="H244" s="12">
        <v>71148200</v>
      </c>
      <c r="I244" s="22" t="str">
        <f t="shared" si="29"/>
        <v>+</v>
      </c>
      <c r="J244" s="13">
        <f t="shared" si="30"/>
        <v>2.547770700636943</v>
      </c>
      <c r="K244" s="13">
        <f t="shared" si="31"/>
        <v>92.309064567746404</v>
      </c>
      <c r="L244" s="14" t="str">
        <f t="shared" si="26"/>
        <v>Normal</v>
      </c>
      <c r="M244" s="14" t="str">
        <f t="shared" si="27"/>
        <v>Normal</v>
      </c>
      <c r="N244" s="14" t="str">
        <f t="shared" si="28"/>
        <v>No</v>
      </c>
    </row>
    <row r="245" spans="1:14" x14ac:dyDescent="0.25">
      <c r="A245" s="9">
        <v>43805</v>
      </c>
      <c r="B245" s="10">
        <v>2019</v>
      </c>
      <c r="C245" s="11">
        <v>810</v>
      </c>
      <c r="D245" s="11">
        <v>815</v>
      </c>
      <c r="E245" s="11">
        <v>790</v>
      </c>
      <c r="F245" s="11">
        <v>810</v>
      </c>
      <c r="G245" s="11">
        <v>665.18</v>
      </c>
      <c r="H245" s="12">
        <v>58178100</v>
      </c>
      <c r="I245" s="22" t="str">
        <f t="shared" si="29"/>
        <v>+</v>
      </c>
      <c r="J245" s="13">
        <f t="shared" si="30"/>
        <v>0.6211180124223602</v>
      </c>
      <c r="K245" s="13">
        <f t="shared" si="31"/>
        <v>-18.229695199597458</v>
      </c>
      <c r="L245" s="14" t="str">
        <f t="shared" si="26"/>
        <v>Normal</v>
      </c>
      <c r="M245" s="14" t="str">
        <f t="shared" si="27"/>
        <v>Normal</v>
      </c>
      <c r="N245" s="14" t="str">
        <f t="shared" si="28"/>
        <v>No</v>
      </c>
    </row>
    <row r="246" spans="1:14" x14ac:dyDescent="0.25">
      <c r="A246" s="9">
        <v>43808</v>
      </c>
      <c r="B246" s="10">
        <v>2019</v>
      </c>
      <c r="C246" s="11">
        <v>810</v>
      </c>
      <c r="D246" s="11">
        <v>835</v>
      </c>
      <c r="E246" s="11">
        <v>805</v>
      </c>
      <c r="F246" s="11">
        <v>825</v>
      </c>
      <c r="G246" s="11">
        <v>677.5</v>
      </c>
      <c r="H246" s="12">
        <v>97666600</v>
      </c>
      <c r="I246" s="22" t="str">
        <f t="shared" si="29"/>
        <v>+</v>
      </c>
      <c r="J246" s="13">
        <f t="shared" si="30"/>
        <v>1.8518518518518516</v>
      </c>
      <c r="K246" s="13">
        <f t="shared" si="31"/>
        <v>67.875197024309827</v>
      </c>
      <c r="L246" s="14" t="str">
        <f t="shared" si="26"/>
        <v>Normal</v>
      </c>
      <c r="M246" s="14" t="str">
        <f t="shared" si="27"/>
        <v>Normal</v>
      </c>
      <c r="N246" s="14" t="str">
        <f t="shared" si="28"/>
        <v>No</v>
      </c>
    </row>
    <row r="247" spans="1:14" x14ac:dyDescent="0.25">
      <c r="A247" s="9">
        <v>43809</v>
      </c>
      <c r="B247" s="10">
        <v>2019</v>
      </c>
      <c r="C247" s="11">
        <v>825</v>
      </c>
      <c r="D247" s="11">
        <v>835</v>
      </c>
      <c r="E247" s="11">
        <v>820</v>
      </c>
      <c r="F247" s="11">
        <v>825</v>
      </c>
      <c r="G247" s="11">
        <v>677.5</v>
      </c>
      <c r="H247" s="12">
        <v>45785500</v>
      </c>
      <c r="I247" s="22" t="str">
        <f t="shared" si="29"/>
        <v>0</v>
      </c>
      <c r="J247" s="13">
        <f t="shared" si="30"/>
        <v>0</v>
      </c>
      <c r="K247" s="13">
        <f t="shared" si="31"/>
        <v>-53.120616464584614</v>
      </c>
      <c r="L247" s="14" t="str">
        <f t="shared" si="26"/>
        <v>Normal</v>
      </c>
      <c r="M247" s="14" t="str">
        <f t="shared" si="27"/>
        <v>Normal</v>
      </c>
      <c r="N247" s="14" t="str">
        <f t="shared" si="28"/>
        <v>No</v>
      </c>
    </row>
    <row r="248" spans="1:14" x14ac:dyDescent="0.25">
      <c r="A248" s="9">
        <v>43810</v>
      </c>
      <c r="B248" s="10">
        <v>2019</v>
      </c>
      <c r="C248" s="11">
        <v>830</v>
      </c>
      <c r="D248" s="11">
        <v>835</v>
      </c>
      <c r="E248" s="11">
        <v>825</v>
      </c>
      <c r="F248" s="11">
        <v>825</v>
      </c>
      <c r="G248" s="11">
        <v>677.5</v>
      </c>
      <c r="H248" s="12">
        <v>24139700</v>
      </c>
      <c r="I248" s="22" t="str">
        <f t="shared" si="29"/>
        <v>0</v>
      </c>
      <c r="J248" s="13">
        <f t="shared" si="30"/>
        <v>0</v>
      </c>
      <c r="K248" s="13">
        <f t="shared" si="31"/>
        <v>-47.276539515785565</v>
      </c>
      <c r="L248" s="14" t="str">
        <f t="shared" si="26"/>
        <v>Normal</v>
      </c>
      <c r="M248" s="14" t="str">
        <f t="shared" si="27"/>
        <v>Normal</v>
      </c>
      <c r="N248" s="14" t="str">
        <f t="shared" si="28"/>
        <v>No</v>
      </c>
    </row>
    <row r="249" spans="1:14" x14ac:dyDescent="0.25">
      <c r="A249" s="9">
        <v>43811</v>
      </c>
      <c r="B249" s="10">
        <v>2019</v>
      </c>
      <c r="C249" s="11">
        <v>835</v>
      </c>
      <c r="D249" s="11">
        <v>855</v>
      </c>
      <c r="E249" s="11">
        <v>835</v>
      </c>
      <c r="F249" s="11">
        <v>835</v>
      </c>
      <c r="G249" s="11">
        <v>685.71</v>
      </c>
      <c r="H249" s="12">
        <v>102156900</v>
      </c>
      <c r="I249" s="22" t="str">
        <f t="shared" si="29"/>
        <v>+</v>
      </c>
      <c r="J249" s="13">
        <f t="shared" si="30"/>
        <v>1.2121212121212122</v>
      </c>
      <c r="K249" s="13">
        <f t="shared" si="31"/>
        <v>323.19042904427147</v>
      </c>
      <c r="L249" s="14" t="str">
        <f t="shared" si="26"/>
        <v>Normal</v>
      </c>
      <c r="M249" s="14" t="str">
        <f t="shared" si="27"/>
        <v>Sharp Volume Increase</v>
      </c>
      <c r="N249" s="14" t="str">
        <f t="shared" si="28"/>
        <v>No</v>
      </c>
    </row>
    <row r="250" spans="1:14" x14ac:dyDescent="0.25">
      <c r="A250" s="9">
        <v>43812</v>
      </c>
      <c r="B250" s="10">
        <v>2019</v>
      </c>
      <c r="C250" s="11">
        <v>845</v>
      </c>
      <c r="D250" s="11">
        <v>855</v>
      </c>
      <c r="E250" s="11">
        <v>835</v>
      </c>
      <c r="F250" s="11">
        <v>850</v>
      </c>
      <c r="G250" s="11">
        <v>698.03</v>
      </c>
      <c r="H250" s="12">
        <v>73516800</v>
      </c>
      <c r="I250" s="22" t="str">
        <f t="shared" si="29"/>
        <v>+</v>
      </c>
      <c r="J250" s="13">
        <f t="shared" si="30"/>
        <v>1.7964071856287425</v>
      </c>
      <c r="K250" s="13">
        <f t="shared" si="31"/>
        <v>-28.035404363288237</v>
      </c>
      <c r="L250" s="14" t="str">
        <f t="shared" si="26"/>
        <v>Normal</v>
      </c>
      <c r="M250" s="14" t="str">
        <f t="shared" si="27"/>
        <v>Normal</v>
      </c>
      <c r="N250" s="14" t="str">
        <f t="shared" si="28"/>
        <v>No</v>
      </c>
    </row>
    <row r="251" spans="1:14" x14ac:dyDescent="0.25">
      <c r="A251" s="9">
        <v>43815</v>
      </c>
      <c r="B251" s="10">
        <v>2019</v>
      </c>
      <c r="C251" s="11">
        <v>855</v>
      </c>
      <c r="D251" s="11">
        <v>865</v>
      </c>
      <c r="E251" s="11">
        <v>850</v>
      </c>
      <c r="F251" s="11">
        <v>865</v>
      </c>
      <c r="G251" s="11">
        <v>710.34</v>
      </c>
      <c r="H251" s="12">
        <v>83127000</v>
      </c>
      <c r="I251" s="22" t="str">
        <f t="shared" si="29"/>
        <v>+</v>
      </c>
      <c r="J251" s="13">
        <f t="shared" si="30"/>
        <v>1.7647058823529411</v>
      </c>
      <c r="K251" s="13">
        <f t="shared" si="31"/>
        <v>13.072114129015407</v>
      </c>
      <c r="L251" s="14" t="str">
        <f t="shared" si="26"/>
        <v>Normal</v>
      </c>
      <c r="M251" s="14" t="str">
        <f t="shared" si="27"/>
        <v>Normal</v>
      </c>
      <c r="N251" s="14" t="str">
        <f t="shared" si="28"/>
        <v>No</v>
      </c>
    </row>
    <row r="252" spans="1:14" x14ac:dyDescent="0.25">
      <c r="A252" s="9">
        <v>43816</v>
      </c>
      <c r="B252" s="10">
        <v>2019</v>
      </c>
      <c r="C252" s="11">
        <v>870</v>
      </c>
      <c r="D252" s="11">
        <v>870</v>
      </c>
      <c r="E252" s="11">
        <v>845</v>
      </c>
      <c r="F252" s="11">
        <v>860</v>
      </c>
      <c r="G252" s="11">
        <v>706.24</v>
      </c>
      <c r="H252" s="12">
        <v>42848800</v>
      </c>
      <c r="I252" s="22" t="str">
        <f t="shared" si="29"/>
        <v>-</v>
      </c>
      <c r="J252" s="13">
        <f t="shared" si="30"/>
        <v>-0.57803468208092479</v>
      </c>
      <c r="K252" s="13">
        <f t="shared" si="31"/>
        <v>-48.453811637614734</v>
      </c>
      <c r="L252" s="14" t="str">
        <f t="shared" si="26"/>
        <v>Normal</v>
      </c>
      <c r="M252" s="14" t="str">
        <f t="shared" si="27"/>
        <v>Normal</v>
      </c>
      <c r="N252" s="14" t="str">
        <f t="shared" si="28"/>
        <v>No</v>
      </c>
    </row>
    <row r="253" spans="1:14" x14ac:dyDescent="0.25">
      <c r="A253" s="9">
        <v>43817</v>
      </c>
      <c r="B253" s="10">
        <v>2019</v>
      </c>
      <c r="C253" s="11">
        <v>860</v>
      </c>
      <c r="D253" s="11">
        <v>860</v>
      </c>
      <c r="E253" s="11">
        <v>825</v>
      </c>
      <c r="F253" s="11">
        <v>830</v>
      </c>
      <c r="G253" s="11">
        <v>681.6</v>
      </c>
      <c r="H253" s="12">
        <v>56603100</v>
      </c>
      <c r="I253" s="22" t="str">
        <f t="shared" si="29"/>
        <v>-</v>
      </c>
      <c r="J253" s="13">
        <f t="shared" si="30"/>
        <v>-3.4883720930232558</v>
      </c>
      <c r="K253" s="13">
        <f t="shared" si="31"/>
        <v>32.09961539179627</v>
      </c>
      <c r="L253" s="14" t="str">
        <f t="shared" si="26"/>
        <v>Normal</v>
      </c>
      <c r="M253" s="14" t="str">
        <f t="shared" si="27"/>
        <v>Normal</v>
      </c>
      <c r="N253" s="14" t="str">
        <f t="shared" si="28"/>
        <v>No</v>
      </c>
    </row>
    <row r="254" spans="1:14" x14ac:dyDescent="0.25">
      <c r="A254" s="9">
        <v>43818</v>
      </c>
      <c r="B254" s="10">
        <v>2019</v>
      </c>
      <c r="C254" s="11">
        <v>830</v>
      </c>
      <c r="D254" s="11">
        <v>845</v>
      </c>
      <c r="E254" s="11">
        <v>825</v>
      </c>
      <c r="F254" s="11">
        <v>835</v>
      </c>
      <c r="G254" s="11">
        <v>685.71</v>
      </c>
      <c r="H254" s="12">
        <v>43386700</v>
      </c>
      <c r="I254" s="22" t="str">
        <f t="shared" si="29"/>
        <v>+</v>
      </c>
      <c r="J254" s="13">
        <f t="shared" si="30"/>
        <v>0.60240963855421692</v>
      </c>
      <c r="K254" s="13">
        <f t="shared" si="31"/>
        <v>-23.349251189422489</v>
      </c>
      <c r="L254" s="14" t="str">
        <f t="shared" si="26"/>
        <v>Normal</v>
      </c>
      <c r="M254" s="14" t="str">
        <f t="shared" si="27"/>
        <v>Normal</v>
      </c>
      <c r="N254" s="14" t="str">
        <f t="shared" si="28"/>
        <v>No</v>
      </c>
    </row>
    <row r="255" spans="1:14" x14ac:dyDescent="0.25">
      <c r="A255" s="9">
        <v>43819</v>
      </c>
      <c r="B255" s="10">
        <v>2019</v>
      </c>
      <c r="C255" s="11">
        <v>845</v>
      </c>
      <c r="D255" s="11">
        <v>850</v>
      </c>
      <c r="E255" s="11">
        <v>825</v>
      </c>
      <c r="F255" s="11">
        <v>830</v>
      </c>
      <c r="G255" s="11">
        <v>681.6</v>
      </c>
      <c r="H255" s="12">
        <v>35549100</v>
      </c>
      <c r="I255" s="22" t="str">
        <f t="shared" si="29"/>
        <v>-</v>
      </c>
      <c r="J255" s="13">
        <f t="shared" si="30"/>
        <v>-0.5988023952095809</v>
      </c>
      <c r="K255" s="13">
        <f t="shared" si="31"/>
        <v>-18.064522077042042</v>
      </c>
      <c r="L255" s="14" t="str">
        <f t="shared" si="26"/>
        <v>Normal</v>
      </c>
      <c r="M255" s="14" t="str">
        <f t="shared" si="27"/>
        <v>Normal</v>
      </c>
      <c r="N255" s="14" t="str">
        <f t="shared" si="28"/>
        <v>No</v>
      </c>
    </row>
    <row r="256" spans="1:14" x14ac:dyDescent="0.25">
      <c r="A256" s="9">
        <v>43822</v>
      </c>
      <c r="B256" s="10">
        <v>2019</v>
      </c>
      <c r="C256" s="11">
        <v>835</v>
      </c>
      <c r="D256" s="11">
        <v>845</v>
      </c>
      <c r="E256" s="11">
        <v>825</v>
      </c>
      <c r="F256" s="11">
        <v>825</v>
      </c>
      <c r="G256" s="11">
        <v>677.5</v>
      </c>
      <c r="H256" s="12">
        <v>38930900</v>
      </c>
      <c r="I256" s="22" t="str">
        <f t="shared" si="29"/>
        <v>-</v>
      </c>
      <c r="J256" s="13">
        <f t="shared" si="30"/>
        <v>-0.60240963855421692</v>
      </c>
      <c r="K256" s="13">
        <f t="shared" si="31"/>
        <v>9.5130397112725777</v>
      </c>
      <c r="L256" s="14" t="str">
        <f t="shared" si="26"/>
        <v>Normal</v>
      </c>
      <c r="M256" s="14" t="str">
        <f t="shared" si="27"/>
        <v>Normal</v>
      </c>
      <c r="N256" s="14" t="str">
        <f t="shared" si="28"/>
        <v>No</v>
      </c>
    </row>
    <row r="257" spans="1:14" x14ac:dyDescent="0.25">
      <c r="A257" s="9">
        <v>43825</v>
      </c>
      <c r="B257" s="10">
        <v>2019</v>
      </c>
      <c r="C257" s="11">
        <v>830</v>
      </c>
      <c r="D257" s="11">
        <v>850</v>
      </c>
      <c r="E257" s="11">
        <v>830</v>
      </c>
      <c r="F257" s="11">
        <v>840</v>
      </c>
      <c r="G257" s="11">
        <v>689.81</v>
      </c>
      <c r="H257" s="12">
        <v>56216100</v>
      </c>
      <c r="I257" s="22" t="str">
        <f t="shared" si="29"/>
        <v>+</v>
      </c>
      <c r="J257" s="13">
        <f t="shared" si="30"/>
        <v>1.8181818181818181</v>
      </c>
      <c r="K257" s="13">
        <f t="shared" si="31"/>
        <v>44.399692789018488</v>
      </c>
      <c r="L257" s="14" t="str">
        <f t="shared" si="26"/>
        <v>Normal</v>
      </c>
      <c r="M257" s="14" t="str">
        <f t="shared" si="27"/>
        <v>Normal</v>
      </c>
      <c r="N257" s="14" t="str">
        <f t="shared" si="28"/>
        <v>No</v>
      </c>
    </row>
    <row r="258" spans="1:14" x14ac:dyDescent="0.25">
      <c r="A258" s="9">
        <v>43826</v>
      </c>
      <c r="B258" s="10">
        <v>2019</v>
      </c>
      <c r="C258" s="11">
        <v>850</v>
      </c>
      <c r="D258" s="11">
        <v>850</v>
      </c>
      <c r="E258" s="11">
        <v>830</v>
      </c>
      <c r="F258" s="11">
        <v>835</v>
      </c>
      <c r="G258" s="11">
        <v>685.71</v>
      </c>
      <c r="H258" s="12">
        <v>34923000</v>
      </c>
      <c r="I258" s="22" t="str">
        <f t="shared" si="29"/>
        <v>-</v>
      </c>
      <c r="J258" s="13">
        <f t="shared" si="30"/>
        <v>-0.59523809523809523</v>
      </c>
      <c r="K258" s="13">
        <f t="shared" si="31"/>
        <v>-37.877227342344987</v>
      </c>
      <c r="L258" s="14" t="str">
        <f t="shared" si="26"/>
        <v>Normal</v>
      </c>
      <c r="M258" s="14" t="str">
        <f t="shared" si="27"/>
        <v>Normal</v>
      </c>
      <c r="N258" s="14" t="str">
        <f t="shared" si="28"/>
        <v>No</v>
      </c>
    </row>
    <row r="259" spans="1:14" x14ac:dyDescent="0.25">
      <c r="A259" s="9">
        <v>43829</v>
      </c>
      <c r="B259" s="10">
        <v>2019</v>
      </c>
      <c r="C259" s="11">
        <v>840</v>
      </c>
      <c r="D259" s="11">
        <v>845</v>
      </c>
      <c r="E259" s="11">
        <v>835</v>
      </c>
      <c r="F259" s="11">
        <v>840</v>
      </c>
      <c r="G259" s="11">
        <v>689.81</v>
      </c>
      <c r="H259" s="12">
        <v>25759500</v>
      </c>
      <c r="I259" s="22" t="str">
        <f t="shared" si="29"/>
        <v>+</v>
      </c>
      <c r="J259" s="13">
        <f t="shared" si="30"/>
        <v>0.5988023952095809</v>
      </c>
      <c r="K259" s="13">
        <f t="shared" si="31"/>
        <v>-26.239154711794519</v>
      </c>
      <c r="L259" s="14" t="str">
        <f t="shared" ref="L259:L322" si="32">IFERROR(IF(OR(J259="",ISBLANK(J259)),"Normal",IF(J259&lt;=$U$6,"Sharp Price Decrease",IF(J259&gt;=$U$7,"Sharp Price Increase","Normal"))),"Normal")</f>
        <v>Normal</v>
      </c>
      <c r="M259" s="14" t="str">
        <f t="shared" ref="M259:M322" si="33">IFERROR(IF(OR(K259="",ISBLANK(K259)),"Normal",IF(K259&lt;=$U$8,"Sharp Volume Decrease",IF(K259&gt;=$U$9,"Sharp Volume Increase","Normal"))),"Normal")</f>
        <v>Normal</v>
      </c>
      <c r="N259" s="14" t="str">
        <f t="shared" ref="N259:N322" si="34">IFERROR(IF(AND(OR(L259="Sharp Price Increase",L259="Sharp Price Decrease"),OR(M259="Sharp Volume Increase",M259="Sharp Volume Decrease")),"Yes","No"),"No")</f>
        <v>No</v>
      </c>
    </row>
    <row r="260" spans="1:14" x14ac:dyDescent="0.25">
      <c r="A260" s="15">
        <v>43832</v>
      </c>
      <c r="B260" s="16">
        <v>2020</v>
      </c>
      <c r="C260" s="17">
        <v>845</v>
      </c>
      <c r="D260" s="17">
        <v>850</v>
      </c>
      <c r="E260" s="17">
        <v>825</v>
      </c>
      <c r="F260" s="17">
        <v>840</v>
      </c>
      <c r="G260" s="17">
        <v>689.81</v>
      </c>
      <c r="H260" s="18">
        <v>26829200</v>
      </c>
      <c r="I260" s="22" t="str">
        <f t="shared" ref="I260:I323" si="35">IFERROR(IF(OR(F259="",F260=""),"",IF(F260-F259&lt;0,"-",IF(F260-F259&gt;0,"+","0"))),"")</f>
        <v>0</v>
      </c>
      <c r="J260" s="19">
        <f t="shared" ref="J260:J323" si="36">(F260-F259)/F259*100</f>
        <v>0</v>
      </c>
      <c r="K260" s="19">
        <f t="shared" ref="K260:K323" si="37">(H260-H259)/H259*100</f>
        <v>4.1526427143383993</v>
      </c>
      <c r="L260" s="20" t="str">
        <f t="shared" si="32"/>
        <v>Normal</v>
      </c>
      <c r="M260" s="20" t="str">
        <f t="shared" si="33"/>
        <v>Normal</v>
      </c>
      <c r="N260" s="20" t="str">
        <f t="shared" si="34"/>
        <v>No</v>
      </c>
    </row>
    <row r="261" spans="1:14" x14ac:dyDescent="0.25">
      <c r="A261" s="15">
        <v>43833</v>
      </c>
      <c r="B261" s="16">
        <v>2020</v>
      </c>
      <c r="C261" s="17">
        <v>845</v>
      </c>
      <c r="D261" s="17">
        <v>850</v>
      </c>
      <c r="E261" s="17">
        <v>840</v>
      </c>
      <c r="F261" s="17">
        <v>850</v>
      </c>
      <c r="G261" s="17">
        <v>698.03</v>
      </c>
      <c r="H261" s="18">
        <v>52105900</v>
      </c>
      <c r="I261" s="22" t="str">
        <f t="shared" si="35"/>
        <v>+</v>
      </c>
      <c r="J261" s="19">
        <f t="shared" si="36"/>
        <v>1.1904761904761905</v>
      </c>
      <c r="K261" s="19">
        <f t="shared" si="37"/>
        <v>94.213394361367463</v>
      </c>
      <c r="L261" s="20" t="str">
        <f t="shared" si="32"/>
        <v>Normal</v>
      </c>
      <c r="M261" s="20" t="str">
        <f t="shared" si="33"/>
        <v>Normal</v>
      </c>
      <c r="N261" s="20" t="str">
        <f t="shared" si="34"/>
        <v>No</v>
      </c>
    </row>
    <row r="262" spans="1:14" x14ac:dyDescent="0.25">
      <c r="A262" s="15">
        <v>43836</v>
      </c>
      <c r="B262" s="16">
        <v>2020</v>
      </c>
      <c r="C262" s="17">
        <v>860</v>
      </c>
      <c r="D262" s="17">
        <v>890</v>
      </c>
      <c r="E262" s="17">
        <v>855</v>
      </c>
      <c r="F262" s="17">
        <v>885</v>
      </c>
      <c r="G262" s="17">
        <v>726.77</v>
      </c>
      <c r="H262" s="18">
        <v>153322300</v>
      </c>
      <c r="I262" s="22" t="str">
        <f t="shared" si="35"/>
        <v>+</v>
      </c>
      <c r="J262" s="19">
        <f t="shared" si="36"/>
        <v>4.117647058823529</v>
      </c>
      <c r="K262" s="19">
        <f t="shared" si="37"/>
        <v>194.25132278686291</v>
      </c>
      <c r="L262" s="20" t="str">
        <f t="shared" si="32"/>
        <v>Normal</v>
      </c>
      <c r="M262" s="20" t="str">
        <f t="shared" si="33"/>
        <v>Sharp Volume Increase</v>
      </c>
      <c r="N262" s="20" t="str">
        <f t="shared" si="34"/>
        <v>No</v>
      </c>
    </row>
    <row r="263" spans="1:14" x14ac:dyDescent="0.25">
      <c r="A263" s="15">
        <v>43837</v>
      </c>
      <c r="B263" s="16">
        <v>2020</v>
      </c>
      <c r="C263" s="17">
        <v>885</v>
      </c>
      <c r="D263" s="17">
        <v>895</v>
      </c>
      <c r="E263" s="17">
        <v>865</v>
      </c>
      <c r="F263" s="17">
        <v>875</v>
      </c>
      <c r="G263" s="17">
        <v>718.56</v>
      </c>
      <c r="H263" s="18">
        <v>93750600</v>
      </c>
      <c r="I263" s="22" t="str">
        <f t="shared" si="35"/>
        <v>-</v>
      </c>
      <c r="J263" s="19">
        <f t="shared" si="36"/>
        <v>-1.1299435028248588</v>
      </c>
      <c r="K263" s="19">
        <f t="shared" si="37"/>
        <v>-38.853904487475077</v>
      </c>
      <c r="L263" s="20" t="str">
        <f t="shared" si="32"/>
        <v>Normal</v>
      </c>
      <c r="M263" s="20" t="str">
        <f t="shared" si="33"/>
        <v>Normal</v>
      </c>
      <c r="N263" s="20" t="str">
        <f t="shared" si="34"/>
        <v>No</v>
      </c>
    </row>
    <row r="264" spans="1:14" x14ac:dyDescent="0.25">
      <c r="A264" s="15">
        <v>43838</v>
      </c>
      <c r="B264" s="16">
        <v>2020</v>
      </c>
      <c r="C264" s="17">
        <v>895</v>
      </c>
      <c r="D264" s="17">
        <v>920</v>
      </c>
      <c r="E264" s="17">
        <v>890</v>
      </c>
      <c r="F264" s="17">
        <v>905</v>
      </c>
      <c r="G264" s="17">
        <v>743.19</v>
      </c>
      <c r="H264" s="18">
        <v>217122000</v>
      </c>
      <c r="I264" s="22" t="str">
        <f t="shared" si="35"/>
        <v>+</v>
      </c>
      <c r="J264" s="19">
        <f t="shared" si="36"/>
        <v>3.4285714285714288</v>
      </c>
      <c r="K264" s="19">
        <f t="shared" si="37"/>
        <v>131.59531778996615</v>
      </c>
      <c r="L264" s="20" t="str">
        <f t="shared" si="32"/>
        <v>Normal</v>
      </c>
      <c r="M264" s="20" t="str">
        <f t="shared" si="33"/>
        <v>Normal</v>
      </c>
      <c r="N264" s="20" t="str">
        <f t="shared" si="34"/>
        <v>No</v>
      </c>
    </row>
    <row r="265" spans="1:14" x14ac:dyDescent="0.25">
      <c r="A265" s="15">
        <v>43839</v>
      </c>
      <c r="B265" s="16">
        <v>2020</v>
      </c>
      <c r="C265" s="17">
        <v>895</v>
      </c>
      <c r="D265" s="17">
        <v>900</v>
      </c>
      <c r="E265" s="17">
        <v>875</v>
      </c>
      <c r="F265" s="17">
        <v>880</v>
      </c>
      <c r="G265" s="17">
        <v>722.66</v>
      </c>
      <c r="H265" s="18">
        <v>109423800</v>
      </c>
      <c r="I265" s="22" t="str">
        <f t="shared" si="35"/>
        <v>-</v>
      </c>
      <c r="J265" s="19">
        <f t="shared" si="36"/>
        <v>-2.7624309392265194</v>
      </c>
      <c r="K265" s="19">
        <f t="shared" si="37"/>
        <v>-49.602619725315719</v>
      </c>
      <c r="L265" s="20" t="str">
        <f t="shared" si="32"/>
        <v>Normal</v>
      </c>
      <c r="M265" s="20" t="str">
        <f t="shared" si="33"/>
        <v>Normal</v>
      </c>
      <c r="N265" s="20" t="str">
        <f t="shared" si="34"/>
        <v>No</v>
      </c>
    </row>
    <row r="266" spans="1:14" x14ac:dyDescent="0.25">
      <c r="A266" s="15">
        <v>43840</v>
      </c>
      <c r="B266" s="16">
        <v>2020</v>
      </c>
      <c r="C266" s="17">
        <v>880</v>
      </c>
      <c r="D266" s="17">
        <v>885</v>
      </c>
      <c r="E266" s="17">
        <v>865</v>
      </c>
      <c r="F266" s="17">
        <v>885</v>
      </c>
      <c r="G266" s="17">
        <v>726.77</v>
      </c>
      <c r="H266" s="18">
        <v>47623200</v>
      </c>
      <c r="I266" s="22" t="str">
        <f t="shared" si="35"/>
        <v>+</v>
      </c>
      <c r="J266" s="19">
        <f t="shared" si="36"/>
        <v>0.56818181818181823</v>
      </c>
      <c r="K266" s="19">
        <f t="shared" si="37"/>
        <v>-56.478206752095986</v>
      </c>
      <c r="L266" s="20" t="str">
        <f t="shared" si="32"/>
        <v>Normal</v>
      </c>
      <c r="M266" s="20" t="str">
        <f t="shared" si="33"/>
        <v>Normal</v>
      </c>
      <c r="N266" s="20" t="str">
        <f t="shared" si="34"/>
        <v>No</v>
      </c>
    </row>
    <row r="267" spans="1:14" x14ac:dyDescent="0.25">
      <c r="A267" s="15">
        <v>43843</v>
      </c>
      <c r="B267" s="16">
        <v>2020</v>
      </c>
      <c r="C267" s="17">
        <v>885</v>
      </c>
      <c r="D267" s="17">
        <v>890</v>
      </c>
      <c r="E267" s="17">
        <v>870</v>
      </c>
      <c r="F267" s="17">
        <v>870</v>
      </c>
      <c r="G267" s="17">
        <v>714.45</v>
      </c>
      <c r="H267" s="18">
        <v>47500600</v>
      </c>
      <c r="I267" s="22" t="str">
        <f t="shared" si="35"/>
        <v>-</v>
      </c>
      <c r="J267" s="19">
        <f t="shared" si="36"/>
        <v>-1.6949152542372881</v>
      </c>
      <c r="K267" s="19">
        <f t="shared" si="37"/>
        <v>-0.25743755144551395</v>
      </c>
      <c r="L267" s="20" t="str">
        <f t="shared" si="32"/>
        <v>Normal</v>
      </c>
      <c r="M267" s="20" t="str">
        <f t="shared" si="33"/>
        <v>Normal</v>
      </c>
      <c r="N267" s="20" t="str">
        <f t="shared" si="34"/>
        <v>No</v>
      </c>
    </row>
    <row r="268" spans="1:14" x14ac:dyDescent="0.25">
      <c r="A268" s="15">
        <v>43844</v>
      </c>
      <c r="B268" s="16">
        <v>2020</v>
      </c>
      <c r="C268" s="17">
        <v>870</v>
      </c>
      <c r="D268" s="17">
        <v>870</v>
      </c>
      <c r="E268" s="17">
        <v>845</v>
      </c>
      <c r="F268" s="17">
        <v>850</v>
      </c>
      <c r="G268" s="17">
        <v>698.03</v>
      </c>
      <c r="H268" s="18">
        <v>98284800</v>
      </c>
      <c r="I268" s="22" t="str">
        <f t="shared" si="35"/>
        <v>-</v>
      </c>
      <c r="J268" s="19">
        <f t="shared" si="36"/>
        <v>-2.2988505747126435</v>
      </c>
      <c r="K268" s="19">
        <f t="shared" si="37"/>
        <v>106.91275478625532</v>
      </c>
      <c r="L268" s="20" t="str">
        <f t="shared" si="32"/>
        <v>Normal</v>
      </c>
      <c r="M268" s="20" t="str">
        <f t="shared" si="33"/>
        <v>Normal</v>
      </c>
      <c r="N268" s="20" t="str">
        <f t="shared" si="34"/>
        <v>No</v>
      </c>
    </row>
    <row r="269" spans="1:14" x14ac:dyDescent="0.25">
      <c r="A269" s="15">
        <v>43845</v>
      </c>
      <c r="B269" s="16">
        <v>2020</v>
      </c>
      <c r="C269" s="17">
        <v>850</v>
      </c>
      <c r="D269" s="17">
        <v>865</v>
      </c>
      <c r="E269" s="17">
        <v>830</v>
      </c>
      <c r="F269" s="17">
        <v>835</v>
      </c>
      <c r="G269" s="17">
        <v>685.71</v>
      </c>
      <c r="H269" s="18">
        <v>73346600</v>
      </c>
      <c r="I269" s="22" t="str">
        <f t="shared" si="35"/>
        <v>-</v>
      </c>
      <c r="J269" s="19">
        <f t="shared" si="36"/>
        <v>-1.7647058823529411</v>
      </c>
      <c r="K269" s="19">
        <f t="shared" si="37"/>
        <v>-25.373404636322199</v>
      </c>
      <c r="L269" s="20" t="str">
        <f t="shared" si="32"/>
        <v>Normal</v>
      </c>
      <c r="M269" s="20" t="str">
        <f t="shared" si="33"/>
        <v>Normal</v>
      </c>
      <c r="N269" s="20" t="str">
        <f t="shared" si="34"/>
        <v>No</v>
      </c>
    </row>
    <row r="270" spans="1:14" x14ac:dyDescent="0.25">
      <c r="A270" s="15">
        <v>43846</v>
      </c>
      <c r="B270" s="16">
        <v>2020</v>
      </c>
      <c r="C270" s="17">
        <v>850</v>
      </c>
      <c r="D270" s="17">
        <v>860</v>
      </c>
      <c r="E270" s="17">
        <v>840</v>
      </c>
      <c r="F270" s="17">
        <v>845</v>
      </c>
      <c r="G270" s="17">
        <v>693.92</v>
      </c>
      <c r="H270" s="18">
        <v>52551000</v>
      </c>
      <c r="I270" s="22" t="str">
        <f t="shared" si="35"/>
        <v>+</v>
      </c>
      <c r="J270" s="19">
        <f t="shared" si="36"/>
        <v>1.1976047904191618</v>
      </c>
      <c r="K270" s="19">
        <f t="shared" si="37"/>
        <v>-28.35250713734515</v>
      </c>
      <c r="L270" s="20" t="str">
        <f t="shared" si="32"/>
        <v>Normal</v>
      </c>
      <c r="M270" s="20" t="str">
        <f t="shared" si="33"/>
        <v>Normal</v>
      </c>
      <c r="N270" s="20" t="str">
        <f t="shared" si="34"/>
        <v>No</v>
      </c>
    </row>
    <row r="271" spans="1:14" x14ac:dyDescent="0.25">
      <c r="A271" s="15">
        <v>43847</v>
      </c>
      <c r="B271" s="16">
        <v>2020</v>
      </c>
      <c r="C271" s="17">
        <v>840</v>
      </c>
      <c r="D271" s="17">
        <v>845</v>
      </c>
      <c r="E271" s="17">
        <v>835</v>
      </c>
      <c r="F271" s="17">
        <v>840</v>
      </c>
      <c r="G271" s="17">
        <v>689.81</v>
      </c>
      <c r="H271" s="18">
        <v>36767000</v>
      </c>
      <c r="I271" s="22" t="str">
        <f t="shared" si="35"/>
        <v>-</v>
      </c>
      <c r="J271" s="19">
        <f t="shared" si="36"/>
        <v>-0.59171597633136097</v>
      </c>
      <c r="K271" s="19">
        <f t="shared" si="37"/>
        <v>-30.035584479838633</v>
      </c>
      <c r="L271" s="20" t="str">
        <f t="shared" si="32"/>
        <v>Normal</v>
      </c>
      <c r="M271" s="20" t="str">
        <f t="shared" si="33"/>
        <v>Normal</v>
      </c>
      <c r="N271" s="20" t="str">
        <f t="shared" si="34"/>
        <v>No</v>
      </c>
    </row>
    <row r="272" spans="1:14" x14ac:dyDescent="0.25">
      <c r="A272" s="15">
        <v>43850</v>
      </c>
      <c r="B272" s="16">
        <v>2020</v>
      </c>
      <c r="C272" s="17">
        <v>840</v>
      </c>
      <c r="D272" s="17">
        <v>850</v>
      </c>
      <c r="E272" s="17">
        <v>785</v>
      </c>
      <c r="F272" s="17">
        <v>795</v>
      </c>
      <c r="G272" s="17">
        <v>652.86</v>
      </c>
      <c r="H272" s="18">
        <v>164357600</v>
      </c>
      <c r="I272" s="22" t="str">
        <f t="shared" si="35"/>
        <v>-</v>
      </c>
      <c r="J272" s="19">
        <f t="shared" si="36"/>
        <v>-5.3571428571428568</v>
      </c>
      <c r="K272" s="19">
        <f t="shared" si="37"/>
        <v>347.02477765387442</v>
      </c>
      <c r="L272" s="20" t="str">
        <f t="shared" si="32"/>
        <v>Sharp Price Decrease</v>
      </c>
      <c r="M272" s="20" t="str">
        <f t="shared" si="33"/>
        <v>Sharp Volume Increase</v>
      </c>
      <c r="N272" s="21" t="str">
        <f t="shared" si="34"/>
        <v>Yes</v>
      </c>
    </row>
    <row r="273" spans="1:14" x14ac:dyDescent="0.25">
      <c r="A273" s="15">
        <v>43851</v>
      </c>
      <c r="B273" s="16">
        <v>2020</v>
      </c>
      <c r="C273" s="17">
        <v>795</v>
      </c>
      <c r="D273" s="17">
        <v>810</v>
      </c>
      <c r="E273" s="17">
        <v>780</v>
      </c>
      <c r="F273" s="17">
        <v>795</v>
      </c>
      <c r="G273" s="17">
        <v>652.86</v>
      </c>
      <c r="H273" s="18">
        <v>72996000</v>
      </c>
      <c r="I273" s="22" t="str">
        <f t="shared" si="35"/>
        <v>0</v>
      </c>
      <c r="J273" s="19">
        <f t="shared" si="36"/>
        <v>0</v>
      </c>
      <c r="K273" s="19">
        <f t="shared" si="37"/>
        <v>-55.587085720404772</v>
      </c>
      <c r="L273" s="20" t="str">
        <f t="shared" si="32"/>
        <v>Normal</v>
      </c>
      <c r="M273" s="20" t="str">
        <f t="shared" si="33"/>
        <v>Normal</v>
      </c>
      <c r="N273" s="20" t="str">
        <f t="shared" si="34"/>
        <v>No</v>
      </c>
    </row>
    <row r="274" spans="1:14" x14ac:dyDescent="0.25">
      <c r="A274" s="15">
        <v>43852</v>
      </c>
      <c r="B274" s="16">
        <v>2020</v>
      </c>
      <c r="C274" s="17">
        <v>800</v>
      </c>
      <c r="D274" s="17">
        <v>805</v>
      </c>
      <c r="E274" s="17">
        <v>755</v>
      </c>
      <c r="F274" s="17">
        <v>770</v>
      </c>
      <c r="G274" s="17">
        <v>632.33000000000004</v>
      </c>
      <c r="H274" s="18">
        <v>129107000</v>
      </c>
      <c r="I274" s="22" t="str">
        <f t="shared" si="35"/>
        <v>-</v>
      </c>
      <c r="J274" s="19">
        <f t="shared" si="36"/>
        <v>-3.1446540880503147</v>
      </c>
      <c r="K274" s="19">
        <f t="shared" si="37"/>
        <v>76.868595539481603</v>
      </c>
      <c r="L274" s="20" t="str">
        <f t="shared" si="32"/>
        <v>Normal</v>
      </c>
      <c r="M274" s="20" t="str">
        <f t="shared" si="33"/>
        <v>Normal</v>
      </c>
      <c r="N274" s="20" t="str">
        <f t="shared" si="34"/>
        <v>No</v>
      </c>
    </row>
    <row r="275" spans="1:14" x14ac:dyDescent="0.25">
      <c r="A275" s="15">
        <v>43853</v>
      </c>
      <c r="B275" s="16">
        <v>2020</v>
      </c>
      <c r="C275" s="17">
        <v>785</v>
      </c>
      <c r="D275" s="17">
        <v>790</v>
      </c>
      <c r="E275" s="17">
        <v>765</v>
      </c>
      <c r="F275" s="17">
        <v>780</v>
      </c>
      <c r="G275" s="17">
        <v>640.54</v>
      </c>
      <c r="H275" s="18">
        <v>38416900</v>
      </c>
      <c r="I275" s="22" t="str">
        <f t="shared" si="35"/>
        <v>+</v>
      </c>
      <c r="J275" s="19">
        <f t="shared" si="36"/>
        <v>1.2987012987012987</v>
      </c>
      <c r="K275" s="19">
        <f t="shared" si="37"/>
        <v>-70.244138582725952</v>
      </c>
      <c r="L275" s="20" t="str">
        <f t="shared" si="32"/>
        <v>Normal</v>
      </c>
      <c r="M275" s="20" t="str">
        <f t="shared" si="33"/>
        <v>Sharp Volume Decrease</v>
      </c>
      <c r="N275" s="20" t="str">
        <f t="shared" si="34"/>
        <v>No</v>
      </c>
    </row>
    <row r="276" spans="1:14" x14ac:dyDescent="0.25">
      <c r="A276" s="15">
        <v>43854</v>
      </c>
      <c r="B276" s="16">
        <v>2020</v>
      </c>
      <c r="C276" s="17">
        <v>780</v>
      </c>
      <c r="D276" s="17">
        <v>790</v>
      </c>
      <c r="E276" s="17">
        <v>775</v>
      </c>
      <c r="F276" s="17">
        <v>785</v>
      </c>
      <c r="G276" s="17">
        <v>644.65</v>
      </c>
      <c r="H276" s="18">
        <v>25277000</v>
      </c>
      <c r="I276" s="22" t="str">
        <f t="shared" si="35"/>
        <v>+</v>
      </c>
      <c r="J276" s="19">
        <f t="shared" si="36"/>
        <v>0.64102564102564097</v>
      </c>
      <c r="K276" s="19">
        <f t="shared" si="37"/>
        <v>-34.203436508411663</v>
      </c>
      <c r="L276" s="20" t="str">
        <f t="shared" si="32"/>
        <v>Normal</v>
      </c>
      <c r="M276" s="20" t="str">
        <f t="shared" si="33"/>
        <v>Normal</v>
      </c>
      <c r="N276" s="20" t="str">
        <f t="shared" si="34"/>
        <v>No</v>
      </c>
    </row>
    <row r="277" spans="1:14" x14ac:dyDescent="0.25">
      <c r="A277" s="15">
        <v>43857</v>
      </c>
      <c r="B277" s="16">
        <v>2020</v>
      </c>
      <c r="C277" s="17">
        <v>790</v>
      </c>
      <c r="D277" s="17">
        <v>790</v>
      </c>
      <c r="E277" s="17">
        <v>745</v>
      </c>
      <c r="F277" s="17">
        <v>750</v>
      </c>
      <c r="G277" s="17">
        <v>615.9</v>
      </c>
      <c r="H277" s="18">
        <v>92354300</v>
      </c>
      <c r="I277" s="22" t="str">
        <f t="shared" si="35"/>
        <v>-</v>
      </c>
      <c r="J277" s="19">
        <f t="shared" si="36"/>
        <v>-4.4585987261146496</v>
      </c>
      <c r="K277" s="19">
        <f t="shared" si="37"/>
        <v>265.36891245005341</v>
      </c>
      <c r="L277" s="20" t="str">
        <f t="shared" si="32"/>
        <v>Sharp Price Decrease</v>
      </c>
      <c r="M277" s="20" t="str">
        <f t="shared" si="33"/>
        <v>Sharp Volume Increase</v>
      </c>
      <c r="N277" s="21" t="str">
        <f t="shared" si="34"/>
        <v>Yes</v>
      </c>
    </row>
    <row r="278" spans="1:14" x14ac:dyDescent="0.25">
      <c r="A278" s="15">
        <v>43858</v>
      </c>
      <c r="B278" s="16">
        <v>2020</v>
      </c>
      <c r="C278" s="17">
        <v>750</v>
      </c>
      <c r="D278" s="17">
        <v>760</v>
      </c>
      <c r="E278" s="17">
        <v>730</v>
      </c>
      <c r="F278" s="17">
        <v>750</v>
      </c>
      <c r="G278" s="17">
        <v>615.9</v>
      </c>
      <c r="H278" s="18">
        <v>81359900</v>
      </c>
      <c r="I278" s="22" t="str">
        <f t="shared" si="35"/>
        <v>0</v>
      </c>
      <c r="J278" s="19">
        <f t="shared" si="36"/>
        <v>0</v>
      </c>
      <c r="K278" s="19">
        <f t="shared" si="37"/>
        <v>-11.904589174515968</v>
      </c>
      <c r="L278" s="20" t="str">
        <f t="shared" si="32"/>
        <v>Normal</v>
      </c>
      <c r="M278" s="20" t="str">
        <f t="shared" si="33"/>
        <v>Normal</v>
      </c>
      <c r="N278" s="20" t="str">
        <f t="shared" si="34"/>
        <v>No</v>
      </c>
    </row>
    <row r="279" spans="1:14" x14ac:dyDescent="0.25">
      <c r="A279" s="15">
        <v>43859</v>
      </c>
      <c r="B279" s="16">
        <v>2020</v>
      </c>
      <c r="C279" s="17">
        <v>760</v>
      </c>
      <c r="D279" s="17">
        <v>765</v>
      </c>
      <c r="E279" s="17">
        <v>750</v>
      </c>
      <c r="F279" s="17">
        <v>750</v>
      </c>
      <c r="G279" s="17">
        <v>615.9</v>
      </c>
      <c r="H279" s="18">
        <v>38092300</v>
      </c>
      <c r="I279" s="22" t="str">
        <f t="shared" si="35"/>
        <v>0</v>
      </c>
      <c r="J279" s="19">
        <f t="shared" si="36"/>
        <v>0</v>
      </c>
      <c r="K279" s="19">
        <f t="shared" si="37"/>
        <v>-53.180498009461665</v>
      </c>
      <c r="L279" s="20" t="str">
        <f t="shared" si="32"/>
        <v>Normal</v>
      </c>
      <c r="M279" s="20" t="str">
        <f t="shared" si="33"/>
        <v>Normal</v>
      </c>
      <c r="N279" s="20" t="str">
        <f t="shared" si="34"/>
        <v>No</v>
      </c>
    </row>
    <row r="280" spans="1:14" x14ac:dyDescent="0.25">
      <c r="A280" s="15">
        <v>43860</v>
      </c>
      <c r="B280" s="16">
        <v>2020</v>
      </c>
      <c r="C280" s="17">
        <v>750</v>
      </c>
      <c r="D280" s="17">
        <v>760</v>
      </c>
      <c r="E280" s="17">
        <v>740</v>
      </c>
      <c r="F280" s="17">
        <v>740</v>
      </c>
      <c r="G280" s="17">
        <v>607.69000000000005</v>
      </c>
      <c r="H280" s="18">
        <v>60227100</v>
      </c>
      <c r="I280" s="22" t="str">
        <f t="shared" si="35"/>
        <v>-</v>
      </c>
      <c r="J280" s="19">
        <f t="shared" si="36"/>
        <v>-1.3333333333333335</v>
      </c>
      <c r="K280" s="19">
        <f t="shared" si="37"/>
        <v>58.108331605075037</v>
      </c>
      <c r="L280" s="20" t="str">
        <f t="shared" si="32"/>
        <v>Normal</v>
      </c>
      <c r="M280" s="20" t="str">
        <f t="shared" si="33"/>
        <v>Normal</v>
      </c>
      <c r="N280" s="20" t="str">
        <f t="shared" si="34"/>
        <v>No</v>
      </c>
    </row>
    <row r="281" spans="1:14" x14ac:dyDescent="0.25">
      <c r="A281" s="15">
        <v>43861</v>
      </c>
      <c r="B281" s="16">
        <v>2020</v>
      </c>
      <c r="C281" s="17">
        <v>745</v>
      </c>
      <c r="D281" s="17">
        <v>745</v>
      </c>
      <c r="E281" s="17">
        <v>715</v>
      </c>
      <c r="F281" s="17">
        <v>720</v>
      </c>
      <c r="G281" s="17">
        <v>591.27</v>
      </c>
      <c r="H281" s="18">
        <v>65280900</v>
      </c>
      <c r="I281" s="22" t="str">
        <f t="shared" si="35"/>
        <v>-</v>
      </c>
      <c r="J281" s="19">
        <f t="shared" si="36"/>
        <v>-2.7027027027027026</v>
      </c>
      <c r="K281" s="19">
        <f t="shared" si="37"/>
        <v>8.3912391597802323</v>
      </c>
      <c r="L281" s="20" t="str">
        <f t="shared" si="32"/>
        <v>Normal</v>
      </c>
      <c r="M281" s="20" t="str">
        <f t="shared" si="33"/>
        <v>Normal</v>
      </c>
      <c r="N281" s="20" t="str">
        <f t="shared" si="34"/>
        <v>No</v>
      </c>
    </row>
    <row r="282" spans="1:14" x14ac:dyDescent="0.25">
      <c r="A282" s="15">
        <v>43864</v>
      </c>
      <c r="B282" s="16">
        <v>2020</v>
      </c>
      <c r="C282" s="17">
        <v>725</v>
      </c>
      <c r="D282" s="17">
        <v>730</v>
      </c>
      <c r="E282" s="17">
        <v>705</v>
      </c>
      <c r="F282" s="17">
        <v>715</v>
      </c>
      <c r="G282" s="17">
        <v>587.16</v>
      </c>
      <c r="H282" s="18">
        <v>45970300</v>
      </c>
      <c r="I282" s="22" t="str">
        <f t="shared" si="35"/>
        <v>-</v>
      </c>
      <c r="J282" s="19">
        <f t="shared" si="36"/>
        <v>-0.69444444444444442</v>
      </c>
      <c r="K282" s="19">
        <f t="shared" si="37"/>
        <v>-29.580780902224081</v>
      </c>
      <c r="L282" s="20" t="str">
        <f t="shared" si="32"/>
        <v>Normal</v>
      </c>
      <c r="M282" s="20" t="str">
        <f t="shared" si="33"/>
        <v>Normal</v>
      </c>
      <c r="N282" s="20" t="str">
        <f t="shared" si="34"/>
        <v>No</v>
      </c>
    </row>
    <row r="283" spans="1:14" x14ac:dyDescent="0.25">
      <c r="A283" s="15">
        <v>43865</v>
      </c>
      <c r="B283" s="16">
        <v>2020</v>
      </c>
      <c r="C283" s="17">
        <v>725</v>
      </c>
      <c r="D283" s="17">
        <v>735</v>
      </c>
      <c r="E283" s="17">
        <v>715</v>
      </c>
      <c r="F283" s="17">
        <v>730</v>
      </c>
      <c r="G283" s="17">
        <v>599.48</v>
      </c>
      <c r="H283" s="18">
        <v>49024800</v>
      </c>
      <c r="I283" s="22" t="str">
        <f t="shared" si="35"/>
        <v>+</v>
      </c>
      <c r="J283" s="19">
        <f t="shared" si="36"/>
        <v>2.0979020979020979</v>
      </c>
      <c r="K283" s="19">
        <f t="shared" si="37"/>
        <v>6.6445074319723822</v>
      </c>
      <c r="L283" s="20" t="str">
        <f t="shared" si="32"/>
        <v>Normal</v>
      </c>
      <c r="M283" s="20" t="str">
        <f t="shared" si="33"/>
        <v>Normal</v>
      </c>
      <c r="N283" s="20" t="str">
        <f t="shared" si="34"/>
        <v>No</v>
      </c>
    </row>
    <row r="284" spans="1:14" x14ac:dyDescent="0.25">
      <c r="A284" s="15">
        <v>43866</v>
      </c>
      <c r="B284" s="16">
        <v>2020</v>
      </c>
      <c r="C284" s="17">
        <v>730</v>
      </c>
      <c r="D284" s="17">
        <v>735</v>
      </c>
      <c r="E284" s="17">
        <v>715</v>
      </c>
      <c r="F284" s="17">
        <v>725</v>
      </c>
      <c r="G284" s="17">
        <v>595.37</v>
      </c>
      <c r="H284" s="18">
        <v>28225000</v>
      </c>
      <c r="I284" s="22" t="str">
        <f t="shared" si="35"/>
        <v>-</v>
      </c>
      <c r="J284" s="19">
        <f t="shared" si="36"/>
        <v>-0.68493150684931503</v>
      </c>
      <c r="K284" s="19">
        <f t="shared" si="37"/>
        <v>-42.427098121766946</v>
      </c>
      <c r="L284" s="20" t="str">
        <f t="shared" si="32"/>
        <v>Normal</v>
      </c>
      <c r="M284" s="20" t="str">
        <f t="shared" si="33"/>
        <v>Normal</v>
      </c>
      <c r="N284" s="20" t="str">
        <f t="shared" si="34"/>
        <v>No</v>
      </c>
    </row>
    <row r="285" spans="1:14" x14ac:dyDescent="0.25">
      <c r="A285" s="15">
        <v>43867</v>
      </c>
      <c r="B285" s="16">
        <v>2020</v>
      </c>
      <c r="C285" s="17">
        <v>730</v>
      </c>
      <c r="D285" s="17">
        <v>735</v>
      </c>
      <c r="E285" s="17">
        <v>715</v>
      </c>
      <c r="F285" s="17">
        <v>735</v>
      </c>
      <c r="G285" s="17">
        <v>603.59</v>
      </c>
      <c r="H285" s="18">
        <v>28180200</v>
      </c>
      <c r="I285" s="22" t="str">
        <f t="shared" si="35"/>
        <v>+</v>
      </c>
      <c r="J285" s="19">
        <f t="shared" si="36"/>
        <v>1.3793103448275863</v>
      </c>
      <c r="K285" s="19">
        <f t="shared" si="37"/>
        <v>-0.15872453498671391</v>
      </c>
      <c r="L285" s="20" t="str">
        <f t="shared" si="32"/>
        <v>Normal</v>
      </c>
      <c r="M285" s="20" t="str">
        <f t="shared" si="33"/>
        <v>Normal</v>
      </c>
      <c r="N285" s="20" t="str">
        <f t="shared" si="34"/>
        <v>No</v>
      </c>
    </row>
    <row r="286" spans="1:14" x14ac:dyDescent="0.25">
      <c r="A286" s="15">
        <v>43868</v>
      </c>
      <c r="B286" s="16">
        <v>2020</v>
      </c>
      <c r="C286" s="17">
        <v>730</v>
      </c>
      <c r="D286" s="17">
        <v>740</v>
      </c>
      <c r="E286" s="17">
        <v>720</v>
      </c>
      <c r="F286" s="17">
        <v>730</v>
      </c>
      <c r="G286" s="17">
        <v>599.48</v>
      </c>
      <c r="H286" s="18">
        <v>27156200</v>
      </c>
      <c r="I286" s="22" t="str">
        <f t="shared" si="35"/>
        <v>-</v>
      </c>
      <c r="J286" s="19">
        <f t="shared" si="36"/>
        <v>-0.68027210884353739</v>
      </c>
      <c r="K286" s="19">
        <f t="shared" si="37"/>
        <v>-3.633757035081369</v>
      </c>
      <c r="L286" s="20" t="str">
        <f t="shared" si="32"/>
        <v>Normal</v>
      </c>
      <c r="M286" s="20" t="str">
        <f t="shared" si="33"/>
        <v>Normal</v>
      </c>
      <c r="N286" s="20" t="str">
        <f t="shared" si="34"/>
        <v>No</v>
      </c>
    </row>
    <row r="287" spans="1:14" x14ac:dyDescent="0.25">
      <c r="A287" s="15">
        <v>43871</v>
      </c>
      <c r="B287" s="16">
        <v>2020</v>
      </c>
      <c r="C287" s="17">
        <v>750</v>
      </c>
      <c r="D287" s="17">
        <v>750</v>
      </c>
      <c r="E287" s="17">
        <v>710</v>
      </c>
      <c r="F287" s="17">
        <v>720</v>
      </c>
      <c r="G287" s="17">
        <v>591.27</v>
      </c>
      <c r="H287" s="18">
        <v>50506700</v>
      </c>
      <c r="I287" s="22" t="str">
        <f t="shared" si="35"/>
        <v>-</v>
      </c>
      <c r="J287" s="19">
        <f t="shared" si="36"/>
        <v>-1.3698630136986301</v>
      </c>
      <c r="K287" s="19">
        <f t="shared" si="37"/>
        <v>85.985889041913083</v>
      </c>
      <c r="L287" s="20" t="str">
        <f t="shared" si="32"/>
        <v>Normal</v>
      </c>
      <c r="M287" s="20" t="str">
        <f t="shared" si="33"/>
        <v>Normal</v>
      </c>
      <c r="N287" s="20" t="str">
        <f t="shared" si="34"/>
        <v>No</v>
      </c>
    </row>
    <row r="288" spans="1:14" x14ac:dyDescent="0.25">
      <c r="A288" s="15">
        <v>43872</v>
      </c>
      <c r="B288" s="16">
        <v>2020</v>
      </c>
      <c r="C288" s="17">
        <v>730</v>
      </c>
      <c r="D288" s="17">
        <v>730</v>
      </c>
      <c r="E288" s="17">
        <v>715</v>
      </c>
      <c r="F288" s="17">
        <v>720</v>
      </c>
      <c r="G288" s="17">
        <v>591.27</v>
      </c>
      <c r="H288" s="18">
        <v>21224000</v>
      </c>
      <c r="I288" s="22" t="str">
        <f t="shared" si="35"/>
        <v>0</v>
      </c>
      <c r="J288" s="19">
        <f t="shared" si="36"/>
        <v>0</v>
      </c>
      <c r="K288" s="19">
        <f t="shared" si="37"/>
        <v>-57.977852443339195</v>
      </c>
      <c r="L288" s="20" t="str">
        <f t="shared" si="32"/>
        <v>Normal</v>
      </c>
      <c r="M288" s="20" t="str">
        <f t="shared" si="33"/>
        <v>Sharp Volume Decrease</v>
      </c>
      <c r="N288" s="20" t="str">
        <f t="shared" si="34"/>
        <v>No</v>
      </c>
    </row>
    <row r="289" spans="1:14" x14ac:dyDescent="0.25">
      <c r="A289" s="15">
        <v>43873</v>
      </c>
      <c r="B289" s="16">
        <v>2020</v>
      </c>
      <c r="C289" s="17">
        <v>720</v>
      </c>
      <c r="D289" s="17">
        <v>725</v>
      </c>
      <c r="E289" s="17">
        <v>705</v>
      </c>
      <c r="F289" s="17">
        <v>715</v>
      </c>
      <c r="G289" s="17">
        <v>587.16</v>
      </c>
      <c r="H289" s="18">
        <v>20699300</v>
      </c>
      <c r="I289" s="22" t="str">
        <f t="shared" si="35"/>
        <v>-</v>
      </c>
      <c r="J289" s="19">
        <f t="shared" si="36"/>
        <v>-0.69444444444444442</v>
      </c>
      <c r="K289" s="19">
        <f t="shared" si="37"/>
        <v>-2.4722012815680361</v>
      </c>
      <c r="L289" s="20" t="str">
        <f t="shared" si="32"/>
        <v>Normal</v>
      </c>
      <c r="M289" s="20" t="str">
        <f t="shared" si="33"/>
        <v>Normal</v>
      </c>
      <c r="N289" s="20" t="str">
        <f t="shared" si="34"/>
        <v>No</v>
      </c>
    </row>
    <row r="290" spans="1:14" x14ac:dyDescent="0.25">
      <c r="A290" s="15">
        <v>43874</v>
      </c>
      <c r="B290" s="16">
        <v>2020</v>
      </c>
      <c r="C290" s="17">
        <v>715</v>
      </c>
      <c r="D290" s="17">
        <v>720</v>
      </c>
      <c r="E290" s="17">
        <v>680</v>
      </c>
      <c r="F290" s="17">
        <v>680</v>
      </c>
      <c r="G290" s="17">
        <v>558.41999999999996</v>
      </c>
      <c r="H290" s="18">
        <v>48920800</v>
      </c>
      <c r="I290" s="22" t="str">
        <f t="shared" si="35"/>
        <v>-</v>
      </c>
      <c r="J290" s="19">
        <f t="shared" si="36"/>
        <v>-4.895104895104895</v>
      </c>
      <c r="K290" s="19">
        <f t="shared" si="37"/>
        <v>136.34035933582297</v>
      </c>
      <c r="L290" s="20" t="str">
        <f t="shared" si="32"/>
        <v>Sharp Price Decrease</v>
      </c>
      <c r="M290" s="20" t="str">
        <f t="shared" si="33"/>
        <v>Normal</v>
      </c>
      <c r="N290" s="20" t="str">
        <f t="shared" si="34"/>
        <v>No</v>
      </c>
    </row>
    <row r="291" spans="1:14" x14ac:dyDescent="0.25">
      <c r="A291" s="15">
        <v>43875</v>
      </c>
      <c r="B291" s="16">
        <v>2020</v>
      </c>
      <c r="C291" s="17">
        <v>680</v>
      </c>
      <c r="D291" s="17">
        <v>690</v>
      </c>
      <c r="E291" s="17">
        <v>665</v>
      </c>
      <c r="F291" s="17">
        <v>675</v>
      </c>
      <c r="G291" s="17">
        <v>554.30999999999995</v>
      </c>
      <c r="H291" s="18">
        <v>29968100</v>
      </c>
      <c r="I291" s="22" t="str">
        <f t="shared" si="35"/>
        <v>-</v>
      </c>
      <c r="J291" s="19">
        <f t="shared" si="36"/>
        <v>-0.73529411764705876</v>
      </c>
      <c r="K291" s="19">
        <f t="shared" si="37"/>
        <v>-38.741598665598275</v>
      </c>
      <c r="L291" s="20" t="str">
        <f t="shared" si="32"/>
        <v>Normal</v>
      </c>
      <c r="M291" s="20" t="str">
        <f t="shared" si="33"/>
        <v>Normal</v>
      </c>
      <c r="N291" s="20" t="str">
        <f t="shared" si="34"/>
        <v>No</v>
      </c>
    </row>
    <row r="292" spans="1:14" x14ac:dyDescent="0.25">
      <c r="A292" s="15">
        <v>43878</v>
      </c>
      <c r="B292" s="16">
        <v>2020</v>
      </c>
      <c r="C292" s="17">
        <v>675</v>
      </c>
      <c r="D292" s="17">
        <v>690</v>
      </c>
      <c r="E292" s="17">
        <v>670</v>
      </c>
      <c r="F292" s="17">
        <v>680</v>
      </c>
      <c r="G292" s="17">
        <v>558.41999999999996</v>
      </c>
      <c r="H292" s="18">
        <v>33798800</v>
      </c>
      <c r="I292" s="22" t="str">
        <f t="shared" si="35"/>
        <v>+</v>
      </c>
      <c r="J292" s="19">
        <f t="shared" si="36"/>
        <v>0.74074074074074081</v>
      </c>
      <c r="K292" s="19">
        <f t="shared" si="37"/>
        <v>12.782592156326228</v>
      </c>
      <c r="L292" s="20" t="str">
        <f t="shared" si="32"/>
        <v>Normal</v>
      </c>
      <c r="M292" s="20" t="str">
        <f t="shared" si="33"/>
        <v>Normal</v>
      </c>
      <c r="N292" s="20" t="str">
        <f t="shared" si="34"/>
        <v>No</v>
      </c>
    </row>
    <row r="293" spans="1:14" x14ac:dyDescent="0.25">
      <c r="A293" s="15">
        <v>43879</v>
      </c>
      <c r="B293" s="16">
        <v>2020</v>
      </c>
      <c r="C293" s="17">
        <v>680</v>
      </c>
      <c r="D293" s="17">
        <v>705</v>
      </c>
      <c r="E293" s="17">
        <v>675</v>
      </c>
      <c r="F293" s="17">
        <v>690</v>
      </c>
      <c r="G293" s="17">
        <v>566.63</v>
      </c>
      <c r="H293" s="18">
        <v>61588700</v>
      </c>
      <c r="I293" s="22" t="str">
        <f t="shared" si="35"/>
        <v>+</v>
      </c>
      <c r="J293" s="19">
        <f t="shared" si="36"/>
        <v>1.4705882352941175</v>
      </c>
      <c r="K293" s="19">
        <f t="shared" si="37"/>
        <v>82.221558161828227</v>
      </c>
      <c r="L293" s="20" t="str">
        <f t="shared" si="32"/>
        <v>Normal</v>
      </c>
      <c r="M293" s="20" t="str">
        <f t="shared" si="33"/>
        <v>Normal</v>
      </c>
      <c r="N293" s="20" t="str">
        <f t="shared" si="34"/>
        <v>No</v>
      </c>
    </row>
    <row r="294" spans="1:14" x14ac:dyDescent="0.25">
      <c r="A294" s="15">
        <v>43880</v>
      </c>
      <c r="B294" s="16">
        <v>2020</v>
      </c>
      <c r="C294" s="17">
        <v>700</v>
      </c>
      <c r="D294" s="17">
        <v>720</v>
      </c>
      <c r="E294" s="17">
        <v>700</v>
      </c>
      <c r="F294" s="17">
        <v>705</v>
      </c>
      <c r="G294" s="17">
        <v>578.95000000000005</v>
      </c>
      <c r="H294" s="18">
        <v>94198000</v>
      </c>
      <c r="I294" s="22" t="str">
        <f t="shared" si="35"/>
        <v>+</v>
      </c>
      <c r="J294" s="19">
        <f t="shared" si="36"/>
        <v>2.1739130434782608</v>
      </c>
      <c r="K294" s="19">
        <f t="shared" si="37"/>
        <v>52.946887984321798</v>
      </c>
      <c r="L294" s="20" t="str">
        <f t="shared" si="32"/>
        <v>Normal</v>
      </c>
      <c r="M294" s="20" t="str">
        <f t="shared" si="33"/>
        <v>Normal</v>
      </c>
      <c r="N294" s="20" t="str">
        <f t="shared" si="34"/>
        <v>No</v>
      </c>
    </row>
    <row r="295" spans="1:14" x14ac:dyDescent="0.25">
      <c r="A295" s="15">
        <v>43881</v>
      </c>
      <c r="B295" s="16">
        <v>2020</v>
      </c>
      <c r="C295" s="17">
        <v>710</v>
      </c>
      <c r="D295" s="17">
        <v>720</v>
      </c>
      <c r="E295" s="17">
        <v>705</v>
      </c>
      <c r="F295" s="17">
        <v>710</v>
      </c>
      <c r="G295" s="17">
        <v>583.05999999999995</v>
      </c>
      <c r="H295" s="18">
        <v>23540300</v>
      </c>
      <c r="I295" s="22" t="str">
        <f t="shared" si="35"/>
        <v>+</v>
      </c>
      <c r="J295" s="19">
        <f t="shared" si="36"/>
        <v>0.70921985815602839</v>
      </c>
      <c r="K295" s="19">
        <f t="shared" si="37"/>
        <v>-75.009766661712561</v>
      </c>
      <c r="L295" s="20" t="str">
        <f t="shared" si="32"/>
        <v>Normal</v>
      </c>
      <c r="M295" s="20" t="str">
        <f t="shared" si="33"/>
        <v>Sharp Volume Decrease</v>
      </c>
      <c r="N295" s="20" t="str">
        <f t="shared" si="34"/>
        <v>No</v>
      </c>
    </row>
    <row r="296" spans="1:14" x14ac:dyDescent="0.25">
      <c r="A296" s="15">
        <v>43882</v>
      </c>
      <c r="B296" s="16">
        <v>2020</v>
      </c>
      <c r="C296" s="17">
        <v>715</v>
      </c>
      <c r="D296" s="17">
        <v>715</v>
      </c>
      <c r="E296" s="17">
        <v>695</v>
      </c>
      <c r="F296" s="17">
        <v>700</v>
      </c>
      <c r="G296" s="17">
        <v>574.84</v>
      </c>
      <c r="H296" s="18">
        <v>74636900</v>
      </c>
      <c r="I296" s="22" t="str">
        <f t="shared" si="35"/>
        <v>-</v>
      </c>
      <c r="J296" s="19">
        <f t="shared" si="36"/>
        <v>-1.4084507042253522</v>
      </c>
      <c r="K296" s="19">
        <f t="shared" si="37"/>
        <v>217.0601054362094</v>
      </c>
      <c r="L296" s="20" t="str">
        <f t="shared" si="32"/>
        <v>Normal</v>
      </c>
      <c r="M296" s="20" t="str">
        <f t="shared" si="33"/>
        <v>Sharp Volume Increase</v>
      </c>
      <c r="N296" s="20" t="str">
        <f t="shared" si="34"/>
        <v>No</v>
      </c>
    </row>
    <row r="297" spans="1:14" x14ac:dyDescent="0.25">
      <c r="A297" s="15">
        <v>43885</v>
      </c>
      <c r="B297" s="16">
        <v>2020</v>
      </c>
      <c r="C297" s="17">
        <v>710</v>
      </c>
      <c r="D297" s="17">
        <v>715</v>
      </c>
      <c r="E297" s="17">
        <v>680</v>
      </c>
      <c r="F297" s="17">
        <v>685</v>
      </c>
      <c r="G297" s="17">
        <v>562.53</v>
      </c>
      <c r="H297" s="18">
        <v>67340700</v>
      </c>
      <c r="I297" s="22" t="str">
        <f t="shared" si="35"/>
        <v>-</v>
      </c>
      <c r="J297" s="19">
        <f t="shared" si="36"/>
        <v>-2.1428571428571428</v>
      </c>
      <c r="K297" s="19">
        <f t="shared" si="37"/>
        <v>-9.7755935736880826</v>
      </c>
      <c r="L297" s="20" t="str">
        <f t="shared" si="32"/>
        <v>Normal</v>
      </c>
      <c r="M297" s="20" t="str">
        <f t="shared" si="33"/>
        <v>Normal</v>
      </c>
      <c r="N297" s="20" t="str">
        <f t="shared" si="34"/>
        <v>No</v>
      </c>
    </row>
    <row r="298" spans="1:14" x14ac:dyDescent="0.25">
      <c r="A298" s="15">
        <v>43886</v>
      </c>
      <c r="B298" s="16">
        <v>2020</v>
      </c>
      <c r="C298" s="17">
        <v>685</v>
      </c>
      <c r="D298" s="17">
        <v>685</v>
      </c>
      <c r="E298" s="17">
        <v>655</v>
      </c>
      <c r="F298" s="17">
        <v>660</v>
      </c>
      <c r="G298" s="17">
        <v>542</v>
      </c>
      <c r="H298" s="18">
        <v>97963600</v>
      </c>
      <c r="I298" s="22" t="str">
        <f t="shared" si="35"/>
        <v>-</v>
      </c>
      <c r="J298" s="19">
        <f t="shared" si="36"/>
        <v>-3.6496350364963499</v>
      </c>
      <c r="K298" s="19">
        <f t="shared" si="37"/>
        <v>45.474579266327794</v>
      </c>
      <c r="L298" s="20" t="str">
        <f t="shared" si="32"/>
        <v>Normal</v>
      </c>
      <c r="M298" s="20" t="str">
        <f t="shared" si="33"/>
        <v>Normal</v>
      </c>
      <c r="N298" s="20" t="str">
        <f t="shared" si="34"/>
        <v>No</v>
      </c>
    </row>
    <row r="299" spans="1:14" x14ac:dyDescent="0.25">
      <c r="A299" s="15">
        <v>43887</v>
      </c>
      <c r="B299" s="16">
        <v>2020</v>
      </c>
      <c r="C299" s="17">
        <v>650</v>
      </c>
      <c r="D299" s="17">
        <v>660</v>
      </c>
      <c r="E299" s="17">
        <v>630</v>
      </c>
      <c r="F299" s="17">
        <v>630</v>
      </c>
      <c r="G299" s="17">
        <v>517.36</v>
      </c>
      <c r="H299" s="18">
        <v>93935900</v>
      </c>
      <c r="I299" s="22" t="str">
        <f t="shared" si="35"/>
        <v>-</v>
      </c>
      <c r="J299" s="19">
        <f t="shared" si="36"/>
        <v>-4.5454545454545459</v>
      </c>
      <c r="K299" s="19">
        <f t="shared" si="37"/>
        <v>-4.1114250599202151</v>
      </c>
      <c r="L299" s="20" t="str">
        <f t="shared" si="32"/>
        <v>Sharp Price Decrease</v>
      </c>
      <c r="M299" s="20" t="str">
        <f t="shared" si="33"/>
        <v>Normal</v>
      </c>
      <c r="N299" s="20" t="str">
        <f t="shared" si="34"/>
        <v>No</v>
      </c>
    </row>
    <row r="300" spans="1:14" x14ac:dyDescent="0.25">
      <c r="A300" s="15">
        <v>43888</v>
      </c>
      <c r="B300" s="16">
        <v>2020</v>
      </c>
      <c r="C300" s="17">
        <v>630</v>
      </c>
      <c r="D300" s="17">
        <v>650</v>
      </c>
      <c r="E300" s="17">
        <v>595</v>
      </c>
      <c r="F300" s="17">
        <v>600</v>
      </c>
      <c r="G300" s="17">
        <v>492.72</v>
      </c>
      <c r="H300" s="18">
        <v>104666900</v>
      </c>
      <c r="I300" s="22" t="str">
        <f t="shared" si="35"/>
        <v>-</v>
      </c>
      <c r="J300" s="19">
        <f t="shared" si="36"/>
        <v>-4.7619047619047619</v>
      </c>
      <c r="K300" s="19">
        <f t="shared" si="37"/>
        <v>11.423747470349461</v>
      </c>
      <c r="L300" s="20" t="str">
        <f t="shared" si="32"/>
        <v>Sharp Price Decrease</v>
      </c>
      <c r="M300" s="20" t="str">
        <f t="shared" si="33"/>
        <v>Normal</v>
      </c>
      <c r="N300" s="20" t="str">
        <f t="shared" si="34"/>
        <v>No</v>
      </c>
    </row>
    <row r="301" spans="1:14" x14ac:dyDescent="0.25">
      <c r="A301" s="15">
        <v>43889</v>
      </c>
      <c r="B301" s="16">
        <v>2020</v>
      </c>
      <c r="C301" s="17">
        <v>590</v>
      </c>
      <c r="D301" s="17">
        <v>590</v>
      </c>
      <c r="E301" s="17">
        <v>540</v>
      </c>
      <c r="F301" s="17">
        <v>575</v>
      </c>
      <c r="G301" s="17">
        <v>472.19</v>
      </c>
      <c r="H301" s="18">
        <v>137409800</v>
      </c>
      <c r="I301" s="22" t="str">
        <f t="shared" si="35"/>
        <v>-</v>
      </c>
      <c r="J301" s="19">
        <f t="shared" si="36"/>
        <v>-4.1666666666666661</v>
      </c>
      <c r="K301" s="19">
        <f t="shared" si="37"/>
        <v>31.282955738633706</v>
      </c>
      <c r="L301" s="20" t="str">
        <f t="shared" si="32"/>
        <v>Normal</v>
      </c>
      <c r="M301" s="20" t="str">
        <f t="shared" si="33"/>
        <v>Normal</v>
      </c>
      <c r="N301" s="20" t="str">
        <f t="shared" si="34"/>
        <v>No</v>
      </c>
    </row>
    <row r="302" spans="1:14" x14ac:dyDescent="0.25">
      <c r="A302" s="15">
        <v>43892</v>
      </c>
      <c r="B302" s="16">
        <v>2020</v>
      </c>
      <c r="C302" s="17">
        <v>580</v>
      </c>
      <c r="D302" s="17">
        <v>600</v>
      </c>
      <c r="E302" s="17">
        <v>570</v>
      </c>
      <c r="F302" s="17">
        <v>585</v>
      </c>
      <c r="G302" s="17">
        <v>480.41</v>
      </c>
      <c r="H302" s="18">
        <v>117769700</v>
      </c>
      <c r="I302" s="22" t="str">
        <f t="shared" si="35"/>
        <v>+</v>
      </c>
      <c r="J302" s="19">
        <f t="shared" si="36"/>
        <v>1.7391304347826086</v>
      </c>
      <c r="K302" s="19">
        <f t="shared" si="37"/>
        <v>-14.293085354901908</v>
      </c>
      <c r="L302" s="20" t="str">
        <f t="shared" si="32"/>
        <v>Normal</v>
      </c>
      <c r="M302" s="20" t="str">
        <f t="shared" si="33"/>
        <v>Normal</v>
      </c>
      <c r="N302" s="20" t="str">
        <f t="shared" si="34"/>
        <v>No</v>
      </c>
    </row>
    <row r="303" spans="1:14" x14ac:dyDescent="0.25">
      <c r="A303" s="15">
        <v>43893</v>
      </c>
      <c r="B303" s="16">
        <v>2020</v>
      </c>
      <c r="C303" s="17">
        <v>600</v>
      </c>
      <c r="D303" s="17">
        <v>620</v>
      </c>
      <c r="E303" s="17">
        <v>595</v>
      </c>
      <c r="F303" s="17">
        <v>615</v>
      </c>
      <c r="G303" s="17">
        <v>505.04</v>
      </c>
      <c r="H303" s="18">
        <v>101217900</v>
      </c>
      <c r="I303" s="22" t="str">
        <f t="shared" si="35"/>
        <v>+</v>
      </c>
      <c r="J303" s="19">
        <f t="shared" si="36"/>
        <v>5.1282051282051277</v>
      </c>
      <c r="K303" s="19">
        <f t="shared" si="37"/>
        <v>-14.054379012598318</v>
      </c>
      <c r="L303" s="20" t="str">
        <f t="shared" si="32"/>
        <v>Normal</v>
      </c>
      <c r="M303" s="20" t="str">
        <f t="shared" si="33"/>
        <v>Normal</v>
      </c>
      <c r="N303" s="20" t="str">
        <f t="shared" si="34"/>
        <v>No</v>
      </c>
    </row>
    <row r="304" spans="1:14" x14ac:dyDescent="0.25">
      <c r="A304" s="15">
        <v>43894</v>
      </c>
      <c r="B304" s="16">
        <v>2020</v>
      </c>
      <c r="C304" s="17">
        <v>615</v>
      </c>
      <c r="D304" s="17">
        <v>635</v>
      </c>
      <c r="E304" s="17">
        <v>610</v>
      </c>
      <c r="F304" s="17">
        <v>630</v>
      </c>
      <c r="G304" s="17">
        <v>517.36</v>
      </c>
      <c r="H304" s="18">
        <v>93281500</v>
      </c>
      <c r="I304" s="22" t="str">
        <f t="shared" si="35"/>
        <v>+</v>
      </c>
      <c r="J304" s="19">
        <f t="shared" si="36"/>
        <v>2.4390243902439024</v>
      </c>
      <c r="K304" s="19">
        <f t="shared" si="37"/>
        <v>-7.840905610568881</v>
      </c>
      <c r="L304" s="20" t="str">
        <f t="shared" si="32"/>
        <v>Normal</v>
      </c>
      <c r="M304" s="20" t="str">
        <f t="shared" si="33"/>
        <v>Normal</v>
      </c>
      <c r="N304" s="20" t="str">
        <f t="shared" si="34"/>
        <v>No</v>
      </c>
    </row>
    <row r="305" spans="1:14" x14ac:dyDescent="0.25">
      <c r="A305" s="15">
        <v>43895</v>
      </c>
      <c r="B305" s="16">
        <v>2020</v>
      </c>
      <c r="C305" s="17">
        <v>635</v>
      </c>
      <c r="D305" s="17">
        <v>650</v>
      </c>
      <c r="E305" s="17">
        <v>625</v>
      </c>
      <c r="F305" s="17">
        <v>630</v>
      </c>
      <c r="G305" s="17">
        <v>517.36</v>
      </c>
      <c r="H305" s="18">
        <v>53646700</v>
      </c>
      <c r="I305" s="22" t="str">
        <f t="shared" si="35"/>
        <v>0</v>
      </c>
      <c r="J305" s="19">
        <f t="shared" si="36"/>
        <v>0</v>
      </c>
      <c r="K305" s="19">
        <f t="shared" si="37"/>
        <v>-42.489453964612487</v>
      </c>
      <c r="L305" s="20" t="str">
        <f t="shared" si="32"/>
        <v>Normal</v>
      </c>
      <c r="M305" s="20" t="str">
        <f t="shared" si="33"/>
        <v>Normal</v>
      </c>
      <c r="N305" s="20" t="str">
        <f t="shared" si="34"/>
        <v>No</v>
      </c>
    </row>
    <row r="306" spans="1:14" x14ac:dyDescent="0.25">
      <c r="A306" s="15">
        <v>43896</v>
      </c>
      <c r="B306" s="16">
        <v>2020</v>
      </c>
      <c r="C306" s="17">
        <v>625</v>
      </c>
      <c r="D306" s="17">
        <v>630</v>
      </c>
      <c r="E306" s="17">
        <v>605</v>
      </c>
      <c r="F306" s="17">
        <v>610</v>
      </c>
      <c r="G306" s="17">
        <v>500.94</v>
      </c>
      <c r="H306" s="18">
        <v>49754200</v>
      </c>
      <c r="I306" s="22" t="str">
        <f t="shared" si="35"/>
        <v>-</v>
      </c>
      <c r="J306" s="19">
        <f t="shared" si="36"/>
        <v>-3.1746031746031744</v>
      </c>
      <c r="K306" s="19">
        <f t="shared" si="37"/>
        <v>-7.2558051100999696</v>
      </c>
      <c r="L306" s="20" t="str">
        <f t="shared" si="32"/>
        <v>Normal</v>
      </c>
      <c r="M306" s="20" t="str">
        <f t="shared" si="33"/>
        <v>Normal</v>
      </c>
      <c r="N306" s="20" t="str">
        <f t="shared" si="34"/>
        <v>No</v>
      </c>
    </row>
    <row r="307" spans="1:14" x14ac:dyDescent="0.25">
      <c r="A307" s="15">
        <v>43899</v>
      </c>
      <c r="B307" s="16">
        <v>2020</v>
      </c>
      <c r="C307" s="17">
        <v>590</v>
      </c>
      <c r="D307" s="17">
        <v>590</v>
      </c>
      <c r="E307" s="17">
        <v>550</v>
      </c>
      <c r="F307" s="17">
        <v>555</v>
      </c>
      <c r="G307" s="17">
        <v>455.77</v>
      </c>
      <c r="H307" s="18">
        <v>105445200</v>
      </c>
      <c r="I307" s="22" t="str">
        <f t="shared" si="35"/>
        <v>-</v>
      </c>
      <c r="J307" s="19">
        <f t="shared" si="36"/>
        <v>-9.0163934426229506</v>
      </c>
      <c r="K307" s="19">
        <f t="shared" si="37"/>
        <v>111.9322589851711</v>
      </c>
      <c r="L307" s="20" t="str">
        <f t="shared" si="32"/>
        <v>Sharp Price Decrease</v>
      </c>
      <c r="M307" s="20" t="str">
        <f t="shared" si="33"/>
        <v>Normal</v>
      </c>
      <c r="N307" s="20" t="str">
        <f t="shared" si="34"/>
        <v>No</v>
      </c>
    </row>
    <row r="308" spans="1:14" x14ac:dyDescent="0.25">
      <c r="A308" s="15">
        <v>43900</v>
      </c>
      <c r="B308" s="16">
        <v>2020</v>
      </c>
      <c r="C308" s="17">
        <v>555</v>
      </c>
      <c r="D308" s="17">
        <v>585</v>
      </c>
      <c r="E308" s="17">
        <v>555</v>
      </c>
      <c r="F308" s="17">
        <v>575</v>
      </c>
      <c r="G308" s="17">
        <v>472.19</v>
      </c>
      <c r="H308" s="18">
        <v>76294500</v>
      </c>
      <c r="I308" s="22" t="str">
        <f t="shared" si="35"/>
        <v>+</v>
      </c>
      <c r="J308" s="19">
        <f t="shared" si="36"/>
        <v>3.6036036036036037</v>
      </c>
      <c r="K308" s="19">
        <f t="shared" si="37"/>
        <v>-27.645355122850539</v>
      </c>
      <c r="L308" s="20" t="str">
        <f t="shared" si="32"/>
        <v>Normal</v>
      </c>
      <c r="M308" s="20" t="str">
        <f t="shared" si="33"/>
        <v>Normal</v>
      </c>
      <c r="N308" s="20" t="str">
        <f t="shared" si="34"/>
        <v>No</v>
      </c>
    </row>
    <row r="309" spans="1:14" x14ac:dyDescent="0.25">
      <c r="A309" s="15">
        <v>43901</v>
      </c>
      <c r="B309" s="16">
        <v>2020</v>
      </c>
      <c r="C309" s="17">
        <v>580</v>
      </c>
      <c r="D309" s="17">
        <v>585</v>
      </c>
      <c r="E309" s="17">
        <v>530</v>
      </c>
      <c r="F309" s="17">
        <v>540</v>
      </c>
      <c r="G309" s="17">
        <v>443.45</v>
      </c>
      <c r="H309" s="18">
        <v>84825600</v>
      </c>
      <c r="I309" s="22" t="str">
        <f t="shared" si="35"/>
        <v>-</v>
      </c>
      <c r="J309" s="19">
        <f t="shared" si="36"/>
        <v>-6.0869565217391308</v>
      </c>
      <c r="K309" s="19">
        <f t="shared" si="37"/>
        <v>11.181802095826042</v>
      </c>
      <c r="L309" s="20" t="str">
        <f t="shared" si="32"/>
        <v>Sharp Price Decrease</v>
      </c>
      <c r="M309" s="20" t="str">
        <f t="shared" si="33"/>
        <v>Normal</v>
      </c>
      <c r="N309" s="20" t="str">
        <f t="shared" si="34"/>
        <v>No</v>
      </c>
    </row>
    <row r="310" spans="1:14" x14ac:dyDescent="0.25">
      <c r="A310" s="15">
        <v>43902</v>
      </c>
      <c r="B310" s="16">
        <v>2020</v>
      </c>
      <c r="C310" s="17">
        <v>520</v>
      </c>
      <c r="D310" s="17">
        <v>520</v>
      </c>
      <c r="E310" s="17">
        <v>488</v>
      </c>
      <c r="F310" s="17">
        <v>490</v>
      </c>
      <c r="G310" s="17">
        <v>402.39</v>
      </c>
      <c r="H310" s="18">
        <v>98610300</v>
      </c>
      <c r="I310" s="22" t="str">
        <f t="shared" si="35"/>
        <v>-</v>
      </c>
      <c r="J310" s="19">
        <f t="shared" si="36"/>
        <v>-9.2592592592592595</v>
      </c>
      <c r="K310" s="19">
        <f t="shared" si="37"/>
        <v>16.250636600271619</v>
      </c>
      <c r="L310" s="20" t="str">
        <f t="shared" si="32"/>
        <v>Sharp Price Decrease</v>
      </c>
      <c r="M310" s="20" t="str">
        <f t="shared" si="33"/>
        <v>Normal</v>
      </c>
      <c r="N310" s="20" t="str">
        <f t="shared" si="34"/>
        <v>No</v>
      </c>
    </row>
    <row r="311" spans="1:14" x14ac:dyDescent="0.25">
      <c r="A311" s="15">
        <v>43903</v>
      </c>
      <c r="B311" s="16">
        <v>2020</v>
      </c>
      <c r="C311" s="17">
        <v>470</v>
      </c>
      <c r="D311" s="17">
        <v>490</v>
      </c>
      <c r="E311" s="17">
        <v>456</v>
      </c>
      <c r="F311" s="17">
        <v>478</v>
      </c>
      <c r="G311" s="17">
        <v>392.54</v>
      </c>
      <c r="H311" s="18">
        <v>117132200</v>
      </c>
      <c r="I311" s="22" t="str">
        <f t="shared" si="35"/>
        <v>-</v>
      </c>
      <c r="J311" s="19">
        <f t="shared" si="36"/>
        <v>-2.4489795918367347</v>
      </c>
      <c r="K311" s="19">
        <f t="shared" si="37"/>
        <v>18.782926327168664</v>
      </c>
      <c r="L311" s="20" t="str">
        <f t="shared" si="32"/>
        <v>Normal</v>
      </c>
      <c r="M311" s="20" t="str">
        <f t="shared" si="33"/>
        <v>Normal</v>
      </c>
      <c r="N311" s="20" t="str">
        <f t="shared" si="34"/>
        <v>No</v>
      </c>
    </row>
    <row r="312" spans="1:14" x14ac:dyDescent="0.25">
      <c r="A312" s="15">
        <v>43906</v>
      </c>
      <c r="B312" s="16">
        <v>2020</v>
      </c>
      <c r="C312" s="17">
        <v>474</v>
      </c>
      <c r="D312" s="17">
        <v>474</v>
      </c>
      <c r="E312" s="17">
        <v>446</v>
      </c>
      <c r="F312" s="17">
        <v>446</v>
      </c>
      <c r="G312" s="17">
        <v>366.26</v>
      </c>
      <c r="H312" s="18">
        <v>57292700</v>
      </c>
      <c r="I312" s="22" t="str">
        <f t="shared" si="35"/>
        <v>-</v>
      </c>
      <c r="J312" s="19">
        <f t="shared" si="36"/>
        <v>-6.6945606694560666</v>
      </c>
      <c r="K312" s="19">
        <f t="shared" si="37"/>
        <v>-51.087147684411292</v>
      </c>
      <c r="L312" s="20" t="str">
        <f t="shared" si="32"/>
        <v>Sharp Price Decrease</v>
      </c>
      <c r="M312" s="20" t="str">
        <f t="shared" si="33"/>
        <v>Normal</v>
      </c>
      <c r="N312" s="20" t="str">
        <f t="shared" si="34"/>
        <v>No</v>
      </c>
    </row>
    <row r="313" spans="1:14" x14ac:dyDescent="0.25">
      <c r="A313" s="15">
        <v>43907</v>
      </c>
      <c r="B313" s="16">
        <v>2020</v>
      </c>
      <c r="C313" s="17">
        <v>446</v>
      </c>
      <c r="D313" s="17">
        <v>446</v>
      </c>
      <c r="E313" s="17">
        <v>416</v>
      </c>
      <c r="F313" s="17">
        <v>416</v>
      </c>
      <c r="G313" s="17">
        <v>341.62</v>
      </c>
      <c r="H313" s="18">
        <v>45123800</v>
      </c>
      <c r="I313" s="22" t="str">
        <f t="shared" si="35"/>
        <v>-</v>
      </c>
      <c r="J313" s="19">
        <f t="shared" si="36"/>
        <v>-6.7264573991031389</v>
      </c>
      <c r="K313" s="19">
        <f t="shared" si="37"/>
        <v>-21.239878728005486</v>
      </c>
      <c r="L313" s="20" t="str">
        <f t="shared" si="32"/>
        <v>Sharp Price Decrease</v>
      </c>
      <c r="M313" s="20" t="str">
        <f t="shared" si="33"/>
        <v>Normal</v>
      </c>
      <c r="N313" s="20" t="str">
        <f t="shared" si="34"/>
        <v>No</v>
      </c>
    </row>
    <row r="314" spans="1:14" x14ac:dyDescent="0.25">
      <c r="A314" s="15">
        <v>43908</v>
      </c>
      <c r="B314" s="16">
        <v>2020</v>
      </c>
      <c r="C314" s="17">
        <v>398</v>
      </c>
      <c r="D314" s="17">
        <v>410</v>
      </c>
      <c r="E314" s="17">
        <v>388</v>
      </c>
      <c r="F314" s="17">
        <v>388</v>
      </c>
      <c r="G314" s="17">
        <v>318.63</v>
      </c>
      <c r="H314" s="18">
        <v>78790100</v>
      </c>
      <c r="I314" s="22" t="str">
        <f t="shared" si="35"/>
        <v>-</v>
      </c>
      <c r="J314" s="19">
        <f t="shared" si="36"/>
        <v>-6.7307692307692308</v>
      </c>
      <c r="K314" s="19">
        <f t="shared" si="37"/>
        <v>74.608743057987141</v>
      </c>
      <c r="L314" s="20" t="str">
        <f t="shared" si="32"/>
        <v>Sharp Price Decrease</v>
      </c>
      <c r="M314" s="20" t="str">
        <f t="shared" si="33"/>
        <v>Normal</v>
      </c>
      <c r="N314" s="20" t="str">
        <f t="shared" si="34"/>
        <v>No</v>
      </c>
    </row>
    <row r="315" spans="1:14" x14ac:dyDescent="0.25">
      <c r="A315" s="15">
        <v>43909</v>
      </c>
      <c r="B315" s="16">
        <v>2020</v>
      </c>
      <c r="C315" s="17">
        <v>362</v>
      </c>
      <c r="D315" s="17">
        <v>364</v>
      </c>
      <c r="E315" s="17">
        <v>362</v>
      </c>
      <c r="F315" s="17">
        <v>362</v>
      </c>
      <c r="G315" s="17">
        <v>297.27999999999997</v>
      </c>
      <c r="H315" s="18">
        <v>8977100</v>
      </c>
      <c r="I315" s="22" t="str">
        <f t="shared" si="35"/>
        <v>-</v>
      </c>
      <c r="J315" s="19">
        <f t="shared" si="36"/>
        <v>-6.7010309278350517</v>
      </c>
      <c r="K315" s="19">
        <f t="shared" si="37"/>
        <v>-88.606309675961825</v>
      </c>
      <c r="L315" s="20" t="str">
        <f t="shared" si="32"/>
        <v>Sharp Price Decrease</v>
      </c>
      <c r="M315" s="20" t="str">
        <f t="shared" si="33"/>
        <v>Sharp Volume Decrease</v>
      </c>
      <c r="N315" s="21" t="str">
        <f t="shared" si="34"/>
        <v>Yes</v>
      </c>
    </row>
    <row r="316" spans="1:14" x14ac:dyDescent="0.25">
      <c r="A316" s="15">
        <v>43910</v>
      </c>
      <c r="B316" s="16">
        <v>2020</v>
      </c>
      <c r="C316" s="17">
        <v>360</v>
      </c>
      <c r="D316" s="17">
        <v>386</v>
      </c>
      <c r="E316" s="17">
        <v>338</v>
      </c>
      <c r="F316" s="17">
        <v>374</v>
      </c>
      <c r="G316" s="17">
        <v>307.13</v>
      </c>
      <c r="H316" s="18">
        <v>164706400</v>
      </c>
      <c r="I316" s="22" t="str">
        <f t="shared" si="35"/>
        <v>+</v>
      </c>
      <c r="J316" s="19">
        <f t="shared" si="36"/>
        <v>3.3149171270718232</v>
      </c>
      <c r="K316" s="19">
        <f t="shared" si="37"/>
        <v>1734.7395038486816</v>
      </c>
      <c r="L316" s="20" t="str">
        <f t="shared" si="32"/>
        <v>Normal</v>
      </c>
      <c r="M316" s="20" t="str">
        <f t="shared" si="33"/>
        <v>Sharp Volume Increase</v>
      </c>
      <c r="N316" s="20" t="str">
        <f t="shared" si="34"/>
        <v>No</v>
      </c>
    </row>
    <row r="317" spans="1:14" x14ac:dyDescent="0.25">
      <c r="A317" s="15">
        <v>43913</v>
      </c>
      <c r="B317" s="16">
        <v>2020</v>
      </c>
      <c r="C317" s="17">
        <v>370</v>
      </c>
      <c r="D317" s="17">
        <v>370</v>
      </c>
      <c r="E317" s="17">
        <v>348</v>
      </c>
      <c r="F317" s="17">
        <v>348</v>
      </c>
      <c r="G317" s="17">
        <v>285.77999999999997</v>
      </c>
      <c r="H317" s="18">
        <v>90136700</v>
      </c>
      <c r="I317" s="22" t="str">
        <f t="shared" si="35"/>
        <v>-</v>
      </c>
      <c r="J317" s="19">
        <f t="shared" si="36"/>
        <v>-6.9518716577540109</v>
      </c>
      <c r="K317" s="19">
        <f t="shared" si="37"/>
        <v>-45.274318423570669</v>
      </c>
      <c r="L317" s="20" t="str">
        <f t="shared" si="32"/>
        <v>Sharp Price Decrease</v>
      </c>
      <c r="M317" s="20" t="str">
        <f t="shared" si="33"/>
        <v>Normal</v>
      </c>
      <c r="N317" s="20" t="str">
        <f t="shared" si="34"/>
        <v>No</v>
      </c>
    </row>
    <row r="318" spans="1:14" x14ac:dyDescent="0.25">
      <c r="A318" s="15">
        <v>43914</v>
      </c>
      <c r="B318" s="16">
        <v>2020</v>
      </c>
      <c r="C318" s="17">
        <v>348</v>
      </c>
      <c r="D318" s="17">
        <v>374</v>
      </c>
      <c r="E318" s="17">
        <v>340</v>
      </c>
      <c r="F318" s="17">
        <v>364</v>
      </c>
      <c r="G318" s="17">
        <v>298.92</v>
      </c>
      <c r="H318" s="18">
        <v>155141100</v>
      </c>
      <c r="I318" s="22" t="str">
        <f t="shared" si="35"/>
        <v>+</v>
      </c>
      <c r="J318" s="19">
        <f t="shared" si="36"/>
        <v>4.5977011494252871</v>
      </c>
      <c r="K318" s="19">
        <f t="shared" si="37"/>
        <v>72.117572531499377</v>
      </c>
      <c r="L318" s="20" t="str">
        <f t="shared" si="32"/>
        <v>Normal</v>
      </c>
      <c r="M318" s="20" t="str">
        <f t="shared" si="33"/>
        <v>Normal</v>
      </c>
      <c r="N318" s="20" t="str">
        <f t="shared" si="34"/>
        <v>No</v>
      </c>
    </row>
    <row r="319" spans="1:14" x14ac:dyDescent="0.25">
      <c r="A319" s="15">
        <v>43916</v>
      </c>
      <c r="B319" s="16">
        <v>2020</v>
      </c>
      <c r="C319" s="17">
        <v>366</v>
      </c>
      <c r="D319" s="17">
        <v>432</v>
      </c>
      <c r="E319" s="17">
        <v>366</v>
      </c>
      <c r="F319" s="17">
        <v>416</v>
      </c>
      <c r="G319" s="17">
        <v>341.62</v>
      </c>
      <c r="H319" s="18">
        <v>267248200</v>
      </c>
      <c r="I319" s="22" t="str">
        <f t="shared" si="35"/>
        <v>+</v>
      </c>
      <c r="J319" s="19">
        <f t="shared" si="36"/>
        <v>14.285714285714285</v>
      </c>
      <c r="K319" s="19">
        <f t="shared" si="37"/>
        <v>72.261380124286859</v>
      </c>
      <c r="L319" s="20" t="str">
        <f t="shared" si="32"/>
        <v>Sharp Price Increase</v>
      </c>
      <c r="M319" s="20" t="str">
        <f t="shared" si="33"/>
        <v>Normal</v>
      </c>
      <c r="N319" s="20" t="str">
        <f t="shared" si="34"/>
        <v>No</v>
      </c>
    </row>
    <row r="320" spans="1:14" x14ac:dyDescent="0.25">
      <c r="A320" s="15">
        <v>43917</v>
      </c>
      <c r="B320" s="16">
        <v>2020</v>
      </c>
      <c r="C320" s="17">
        <v>432</v>
      </c>
      <c r="D320" s="17">
        <v>505</v>
      </c>
      <c r="E320" s="17">
        <v>426</v>
      </c>
      <c r="F320" s="17">
        <v>460</v>
      </c>
      <c r="G320" s="17">
        <v>377.75</v>
      </c>
      <c r="H320" s="18">
        <v>292787100</v>
      </c>
      <c r="I320" s="22" t="str">
        <f t="shared" si="35"/>
        <v>+</v>
      </c>
      <c r="J320" s="19">
        <f t="shared" si="36"/>
        <v>10.576923076923077</v>
      </c>
      <c r="K320" s="19">
        <f t="shared" si="37"/>
        <v>9.5562477128003103</v>
      </c>
      <c r="L320" s="20" t="str">
        <f t="shared" si="32"/>
        <v>Sharp Price Increase</v>
      </c>
      <c r="M320" s="20" t="str">
        <f t="shared" si="33"/>
        <v>Normal</v>
      </c>
      <c r="N320" s="20" t="str">
        <f t="shared" si="34"/>
        <v>No</v>
      </c>
    </row>
    <row r="321" spans="1:14" x14ac:dyDescent="0.25">
      <c r="A321" s="15">
        <v>43920</v>
      </c>
      <c r="B321" s="16">
        <v>2020</v>
      </c>
      <c r="C321" s="17">
        <v>450</v>
      </c>
      <c r="D321" s="17">
        <v>460</v>
      </c>
      <c r="E321" s="17">
        <v>428</v>
      </c>
      <c r="F321" s="17">
        <v>432</v>
      </c>
      <c r="G321" s="17">
        <v>354.76</v>
      </c>
      <c r="H321" s="18">
        <v>74651200</v>
      </c>
      <c r="I321" s="22" t="str">
        <f t="shared" si="35"/>
        <v>-</v>
      </c>
      <c r="J321" s="19">
        <f t="shared" si="36"/>
        <v>-6.0869565217391308</v>
      </c>
      <c r="K321" s="19">
        <f t="shared" si="37"/>
        <v>-74.503248264694719</v>
      </c>
      <c r="L321" s="20" t="str">
        <f t="shared" si="32"/>
        <v>Sharp Price Decrease</v>
      </c>
      <c r="M321" s="20" t="str">
        <f t="shared" si="33"/>
        <v>Sharp Volume Decrease</v>
      </c>
      <c r="N321" s="21" t="str">
        <f t="shared" si="34"/>
        <v>Yes</v>
      </c>
    </row>
    <row r="322" spans="1:14" x14ac:dyDescent="0.25">
      <c r="A322" s="15">
        <v>43921</v>
      </c>
      <c r="B322" s="16">
        <v>2020</v>
      </c>
      <c r="C322" s="17">
        <v>440</v>
      </c>
      <c r="D322" s="17">
        <v>464</v>
      </c>
      <c r="E322" s="17">
        <v>434</v>
      </c>
      <c r="F322" s="17">
        <v>450</v>
      </c>
      <c r="G322" s="17">
        <v>369.54</v>
      </c>
      <c r="H322" s="18">
        <v>89306500</v>
      </c>
      <c r="I322" s="22" t="str">
        <f t="shared" si="35"/>
        <v>+</v>
      </c>
      <c r="J322" s="19">
        <f t="shared" si="36"/>
        <v>4.1666666666666661</v>
      </c>
      <c r="K322" s="19">
        <f t="shared" si="37"/>
        <v>19.631700495102557</v>
      </c>
      <c r="L322" s="20" t="str">
        <f t="shared" si="32"/>
        <v>Normal</v>
      </c>
      <c r="M322" s="20" t="str">
        <f t="shared" si="33"/>
        <v>Normal</v>
      </c>
      <c r="N322" s="20" t="str">
        <f t="shared" si="34"/>
        <v>No</v>
      </c>
    </row>
    <row r="323" spans="1:14" x14ac:dyDescent="0.25">
      <c r="A323" s="15">
        <v>43922</v>
      </c>
      <c r="B323" s="16">
        <v>2020</v>
      </c>
      <c r="C323" s="17">
        <v>450</v>
      </c>
      <c r="D323" s="17">
        <v>462</v>
      </c>
      <c r="E323" s="17">
        <v>434</v>
      </c>
      <c r="F323" s="17">
        <v>436</v>
      </c>
      <c r="G323" s="17">
        <v>358.05</v>
      </c>
      <c r="H323" s="18">
        <v>81224700</v>
      </c>
      <c r="I323" s="22" t="str">
        <f t="shared" si="35"/>
        <v>-</v>
      </c>
      <c r="J323" s="19">
        <f t="shared" si="36"/>
        <v>-3.1111111111111112</v>
      </c>
      <c r="K323" s="19">
        <f t="shared" si="37"/>
        <v>-9.0495092742409557</v>
      </c>
      <c r="L323" s="20" t="str">
        <f t="shared" ref="L323:L386" si="38">IFERROR(IF(OR(J323="",ISBLANK(J323)),"Normal",IF(J323&lt;=$U$6,"Sharp Price Decrease",IF(J323&gt;=$U$7,"Sharp Price Increase","Normal"))),"Normal")</f>
        <v>Normal</v>
      </c>
      <c r="M323" s="20" t="str">
        <f t="shared" ref="M323:M386" si="39">IFERROR(IF(OR(K323="",ISBLANK(K323)),"Normal",IF(K323&lt;=$U$8,"Sharp Volume Decrease",IF(K323&gt;=$U$9,"Sharp Volume Increase","Normal"))),"Normal")</f>
        <v>Normal</v>
      </c>
      <c r="N323" s="20" t="str">
        <f t="shared" ref="N323:N386" si="40">IFERROR(IF(AND(OR(L323="Sharp Price Increase",L323="Sharp Price Decrease"),OR(M323="Sharp Volume Increase",M323="Sharp Volume Decrease")),"Yes","No"),"No")</f>
        <v>No</v>
      </c>
    </row>
    <row r="324" spans="1:14" x14ac:dyDescent="0.25">
      <c r="A324" s="15">
        <v>43923</v>
      </c>
      <c r="B324" s="16">
        <v>2020</v>
      </c>
      <c r="C324" s="17">
        <v>436</v>
      </c>
      <c r="D324" s="17">
        <v>454</v>
      </c>
      <c r="E324" s="17">
        <v>424</v>
      </c>
      <c r="F324" s="17">
        <v>452</v>
      </c>
      <c r="G324" s="17">
        <v>371.19</v>
      </c>
      <c r="H324" s="18">
        <v>83577100</v>
      </c>
      <c r="I324" s="22" t="str">
        <f t="shared" ref="I324:I387" si="41">IFERROR(IF(OR(F323="",F324=""),"",IF(F324-F323&lt;0,"-",IF(F324-F323&gt;0,"+","0"))),"")</f>
        <v>+</v>
      </c>
      <c r="J324" s="19">
        <f t="shared" ref="J324:J387" si="42">(F324-F323)/F323*100</f>
        <v>3.669724770642202</v>
      </c>
      <c r="K324" s="19">
        <f t="shared" ref="K324:K387" si="43">(H324-H323)/H323*100</f>
        <v>2.896163359175226</v>
      </c>
      <c r="L324" s="20" t="str">
        <f t="shared" si="38"/>
        <v>Normal</v>
      </c>
      <c r="M324" s="20" t="str">
        <f t="shared" si="39"/>
        <v>Normal</v>
      </c>
      <c r="N324" s="20" t="str">
        <f t="shared" si="40"/>
        <v>No</v>
      </c>
    </row>
    <row r="325" spans="1:14" x14ac:dyDescent="0.25">
      <c r="A325" s="15">
        <v>43924</v>
      </c>
      <c r="B325" s="16">
        <v>2020</v>
      </c>
      <c r="C325" s="17">
        <v>458</v>
      </c>
      <c r="D325" s="17">
        <v>472</v>
      </c>
      <c r="E325" s="17">
        <v>450</v>
      </c>
      <c r="F325" s="17">
        <v>464</v>
      </c>
      <c r="G325" s="17">
        <v>381.04</v>
      </c>
      <c r="H325" s="18">
        <v>115728200</v>
      </c>
      <c r="I325" s="22" t="str">
        <f t="shared" si="41"/>
        <v>+</v>
      </c>
      <c r="J325" s="19">
        <f t="shared" si="42"/>
        <v>2.6548672566371683</v>
      </c>
      <c r="K325" s="19">
        <f t="shared" si="43"/>
        <v>38.468791092296811</v>
      </c>
      <c r="L325" s="20" t="str">
        <f t="shared" si="38"/>
        <v>Normal</v>
      </c>
      <c r="M325" s="20" t="str">
        <f t="shared" si="39"/>
        <v>Normal</v>
      </c>
      <c r="N325" s="20" t="str">
        <f t="shared" si="40"/>
        <v>No</v>
      </c>
    </row>
    <row r="326" spans="1:14" x14ac:dyDescent="0.25">
      <c r="A326" s="15">
        <v>43927</v>
      </c>
      <c r="B326" s="16">
        <v>2020</v>
      </c>
      <c r="C326" s="17">
        <v>466</v>
      </c>
      <c r="D326" s="17">
        <v>540</v>
      </c>
      <c r="E326" s="17">
        <v>466</v>
      </c>
      <c r="F326" s="17">
        <v>540</v>
      </c>
      <c r="G326" s="17">
        <v>443.45</v>
      </c>
      <c r="H326" s="18">
        <v>224870500</v>
      </c>
      <c r="I326" s="22" t="str">
        <f t="shared" si="41"/>
        <v>+</v>
      </c>
      <c r="J326" s="19">
        <f t="shared" si="42"/>
        <v>16.379310344827587</v>
      </c>
      <c r="K326" s="19">
        <f t="shared" si="43"/>
        <v>94.309165786731313</v>
      </c>
      <c r="L326" s="20" t="str">
        <f t="shared" si="38"/>
        <v>Sharp Price Increase</v>
      </c>
      <c r="M326" s="20" t="str">
        <f t="shared" si="39"/>
        <v>Normal</v>
      </c>
      <c r="N326" s="20" t="str">
        <f t="shared" si="40"/>
        <v>No</v>
      </c>
    </row>
    <row r="327" spans="1:14" x14ac:dyDescent="0.25">
      <c r="A327" s="15">
        <v>43928</v>
      </c>
      <c r="B327" s="16">
        <v>2020</v>
      </c>
      <c r="C327" s="17">
        <v>580</v>
      </c>
      <c r="D327" s="17">
        <v>590</v>
      </c>
      <c r="E327" s="17">
        <v>520</v>
      </c>
      <c r="F327" s="17">
        <v>555</v>
      </c>
      <c r="G327" s="17">
        <v>455.77</v>
      </c>
      <c r="H327" s="18">
        <v>256413700</v>
      </c>
      <c r="I327" s="22" t="str">
        <f t="shared" si="41"/>
        <v>+</v>
      </c>
      <c r="J327" s="19">
        <f t="shared" si="42"/>
        <v>2.7777777777777777</v>
      </c>
      <c r="K327" s="19">
        <f t="shared" si="43"/>
        <v>14.027273475177937</v>
      </c>
      <c r="L327" s="20" t="str">
        <f t="shared" si="38"/>
        <v>Normal</v>
      </c>
      <c r="M327" s="20" t="str">
        <f t="shared" si="39"/>
        <v>Normal</v>
      </c>
      <c r="N327" s="20" t="str">
        <f t="shared" si="40"/>
        <v>No</v>
      </c>
    </row>
    <row r="328" spans="1:14" x14ac:dyDescent="0.25">
      <c r="A328" s="15">
        <v>43929</v>
      </c>
      <c r="B328" s="16">
        <v>2020</v>
      </c>
      <c r="C328" s="17">
        <v>555</v>
      </c>
      <c r="D328" s="17">
        <v>555</v>
      </c>
      <c r="E328" s="17">
        <v>520</v>
      </c>
      <c r="F328" s="17">
        <v>520</v>
      </c>
      <c r="G328" s="17">
        <v>427.03</v>
      </c>
      <c r="H328" s="18">
        <v>90030300</v>
      </c>
      <c r="I328" s="22" t="str">
        <f t="shared" si="41"/>
        <v>-</v>
      </c>
      <c r="J328" s="19">
        <f t="shared" si="42"/>
        <v>-6.3063063063063058</v>
      </c>
      <c r="K328" s="19">
        <f t="shared" si="43"/>
        <v>-64.888654545369448</v>
      </c>
      <c r="L328" s="20" t="str">
        <f t="shared" si="38"/>
        <v>Sharp Price Decrease</v>
      </c>
      <c r="M328" s="20" t="str">
        <f t="shared" si="39"/>
        <v>Sharp Volume Decrease</v>
      </c>
      <c r="N328" s="21" t="str">
        <f t="shared" si="40"/>
        <v>Yes</v>
      </c>
    </row>
    <row r="329" spans="1:14" x14ac:dyDescent="0.25">
      <c r="A329" s="15">
        <v>43930</v>
      </c>
      <c r="B329" s="16">
        <v>2020</v>
      </c>
      <c r="C329" s="17">
        <v>510</v>
      </c>
      <c r="D329" s="17">
        <v>540</v>
      </c>
      <c r="E329" s="17">
        <v>492</v>
      </c>
      <c r="F329" s="17">
        <v>520</v>
      </c>
      <c r="G329" s="17">
        <v>427.03</v>
      </c>
      <c r="H329" s="18">
        <v>105623600</v>
      </c>
      <c r="I329" s="22" t="str">
        <f t="shared" si="41"/>
        <v>0</v>
      </c>
      <c r="J329" s="19">
        <f t="shared" si="42"/>
        <v>0</v>
      </c>
      <c r="K329" s="19">
        <f t="shared" si="43"/>
        <v>17.320057802761958</v>
      </c>
      <c r="L329" s="20" t="str">
        <f t="shared" si="38"/>
        <v>Normal</v>
      </c>
      <c r="M329" s="20" t="str">
        <f t="shared" si="39"/>
        <v>Normal</v>
      </c>
      <c r="N329" s="20" t="str">
        <f t="shared" si="40"/>
        <v>No</v>
      </c>
    </row>
    <row r="330" spans="1:14" x14ac:dyDescent="0.25">
      <c r="A330" s="15">
        <v>43934</v>
      </c>
      <c r="B330" s="16">
        <v>2020</v>
      </c>
      <c r="C330" s="17">
        <v>520</v>
      </c>
      <c r="D330" s="17">
        <v>555</v>
      </c>
      <c r="E330" s="17">
        <v>510</v>
      </c>
      <c r="F330" s="17">
        <v>535</v>
      </c>
      <c r="G330" s="17">
        <v>439.35</v>
      </c>
      <c r="H330" s="18">
        <v>72240600</v>
      </c>
      <c r="I330" s="22" t="str">
        <f t="shared" si="41"/>
        <v>+</v>
      </c>
      <c r="J330" s="19">
        <f t="shared" si="42"/>
        <v>2.8846153846153846</v>
      </c>
      <c r="K330" s="19">
        <f t="shared" si="43"/>
        <v>-31.605626015398077</v>
      </c>
      <c r="L330" s="20" t="str">
        <f t="shared" si="38"/>
        <v>Normal</v>
      </c>
      <c r="M330" s="20" t="str">
        <f t="shared" si="39"/>
        <v>Normal</v>
      </c>
      <c r="N330" s="20" t="str">
        <f t="shared" si="40"/>
        <v>No</v>
      </c>
    </row>
    <row r="331" spans="1:14" x14ac:dyDescent="0.25">
      <c r="A331" s="15">
        <v>43935</v>
      </c>
      <c r="B331" s="16">
        <v>2020</v>
      </c>
      <c r="C331" s="17">
        <v>550</v>
      </c>
      <c r="D331" s="17">
        <v>560</v>
      </c>
      <c r="E331" s="17">
        <v>540</v>
      </c>
      <c r="F331" s="17">
        <v>555</v>
      </c>
      <c r="G331" s="17">
        <v>455.77</v>
      </c>
      <c r="H331" s="18">
        <v>84352000</v>
      </c>
      <c r="I331" s="22" t="str">
        <f t="shared" si="41"/>
        <v>+</v>
      </c>
      <c r="J331" s="19">
        <f t="shared" si="42"/>
        <v>3.7383177570093453</v>
      </c>
      <c r="K331" s="19">
        <f t="shared" si="43"/>
        <v>16.765364628754469</v>
      </c>
      <c r="L331" s="20" t="str">
        <f t="shared" si="38"/>
        <v>Normal</v>
      </c>
      <c r="M331" s="20" t="str">
        <f t="shared" si="39"/>
        <v>Normal</v>
      </c>
      <c r="N331" s="20" t="str">
        <f t="shared" si="40"/>
        <v>No</v>
      </c>
    </row>
    <row r="332" spans="1:14" x14ac:dyDescent="0.25">
      <c r="A332" s="15">
        <v>43936</v>
      </c>
      <c r="B332" s="16">
        <v>2020</v>
      </c>
      <c r="C332" s="17">
        <v>560</v>
      </c>
      <c r="D332" s="17">
        <v>565</v>
      </c>
      <c r="E332" s="17">
        <v>525</v>
      </c>
      <c r="F332" s="17">
        <v>525</v>
      </c>
      <c r="G332" s="17">
        <v>431.13</v>
      </c>
      <c r="H332" s="18">
        <v>87961700</v>
      </c>
      <c r="I332" s="22" t="str">
        <f t="shared" si="41"/>
        <v>-</v>
      </c>
      <c r="J332" s="19">
        <f t="shared" si="42"/>
        <v>-5.4054054054054053</v>
      </c>
      <c r="K332" s="19">
        <f t="shared" si="43"/>
        <v>4.2793294764795142</v>
      </c>
      <c r="L332" s="20" t="str">
        <f t="shared" si="38"/>
        <v>Sharp Price Decrease</v>
      </c>
      <c r="M332" s="20" t="str">
        <f t="shared" si="39"/>
        <v>Normal</v>
      </c>
      <c r="N332" s="20" t="str">
        <f t="shared" si="40"/>
        <v>No</v>
      </c>
    </row>
    <row r="333" spans="1:14" x14ac:dyDescent="0.25">
      <c r="A333" s="15">
        <v>43937</v>
      </c>
      <c r="B333" s="16">
        <v>2020</v>
      </c>
      <c r="C333" s="17">
        <v>535</v>
      </c>
      <c r="D333" s="17">
        <v>535</v>
      </c>
      <c r="E333" s="17">
        <v>494</v>
      </c>
      <c r="F333" s="17">
        <v>505</v>
      </c>
      <c r="G333" s="17">
        <v>414.71</v>
      </c>
      <c r="H333" s="18">
        <v>100312000</v>
      </c>
      <c r="I333" s="22" t="str">
        <f t="shared" si="41"/>
        <v>-</v>
      </c>
      <c r="J333" s="19">
        <f t="shared" si="42"/>
        <v>-3.8095238095238098</v>
      </c>
      <c r="K333" s="19">
        <f t="shared" si="43"/>
        <v>14.040542645264928</v>
      </c>
      <c r="L333" s="20" t="str">
        <f t="shared" si="38"/>
        <v>Normal</v>
      </c>
      <c r="M333" s="20" t="str">
        <f t="shared" si="39"/>
        <v>Normal</v>
      </c>
      <c r="N333" s="20" t="str">
        <f t="shared" si="40"/>
        <v>No</v>
      </c>
    </row>
    <row r="334" spans="1:14" x14ac:dyDescent="0.25">
      <c r="A334" s="15">
        <v>43938</v>
      </c>
      <c r="B334" s="16">
        <v>2020</v>
      </c>
      <c r="C334" s="17">
        <v>520</v>
      </c>
      <c r="D334" s="17">
        <v>530</v>
      </c>
      <c r="E334" s="17">
        <v>500</v>
      </c>
      <c r="F334" s="17">
        <v>520</v>
      </c>
      <c r="G334" s="17">
        <v>427.03</v>
      </c>
      <c r="H334" s="18">
        <v>94759700</v>
      </c>
      <c r="I334" s="22" t="str">
        <f t="shared" si="41"/>
        <v>+</v>
      </c>
      <c r="J334" s="19">
        <f t="shared" si="42"/>
        <v>2.9702970297029703</v>
      </c>
      <c r="K334" s="19">
        <f t="shared" si="43"/>
        <v>-5.535030704202887</v>
      </c>
      <c r="L334" s="20" t="str">
        <f t="shared" si="38"/>
        <v>Normal</v>
      </c>
      <c r="M334" s="20" t="str">
        <f t="shared" si="39"/>
        <v>Normal</v>
      </c>
      <c r="N334" s="20" t="str">
        <f t="shared" si="40"/>
        <v>No</v>
      </c>
    </row>
    <row r="335" spans="1:14" x14ac:dyDescent="0.25">
      <c r="A335" s="15">
        <v>43941</v>
      </c>
      <c r="B335" s="16">
        <v>2020</v>
      </c>
      <c r="C335" s="17">
        <v>515</v>
      </c>
      <c r="D335" s="17">
        <v>520</v>
      </c>
      <c r="E335" s="17">
        <v>496</v>
      </c>
      <c r="F335" s="17">
        <v>500</v>
      </c>
      <c r="G335" s="17">
        <v>410.6</v>
      </c>
      <c r="H335" s="18">
        <v>80546300</v>
      </c>
      <c r="I335" s="22" t="str">
        <f t="shared" si="41"/>
        <v>-</v>
      </c>
      <c r="J335" s="19">
        <f t="shared" si="42"/>
        <v>-3.8461538461538463</v>
      </c>
      <c r="K335" s="19">
        <f t="shared" si="43"/>
        <v>-14.999414307981136</v>
      </c>
      <c r="L335" s="20" t="str">
        <f t="shared" si="38"/>
        <v>Normal</v>
      </c>
      <c r="M335" s="20" t="str">
        <f t="shared" si="39"/>
        <v>Normal</v>
      </c>
      <c r="N335" s="20" t="str">
        <f t="shared" si="40"/>
        <v>No</v>
      </c>
    </row>
    <row r="336" spans="1:14" x14ac:dyDescent="0.25">
      <c r="A336" s="15">
        <v>43942</v>
      </c>
      <c r="B336" s="16">
        <v>2020</v>
      </c>
      <c r="C336" s="17">
        <v>500</v>
      </c>
      <c r="D336" s="17">
        <v>500</v>
      </c>
      <c r="E336" s="17">
        <v>476</v>
      </c>
      <c r="F336" s="17">
        <v>482</v>
      </c>
      <c r="G336" s="17">
        <v>395.82</v>
      </c>
      <c r="H336" s="18">
        <v>92065100</v>
      </c>
      <c r="I336" s="22" t="str">
        <f t="shared" si="41"/>
        <v>-</v>
      </c>
      <c r="J336" s="19">
        <f t="shared" si="42"/>
        <v>-3.5999999999999996</v>
      </c>
      <c r="K336" s="19">
        <f t="shared" si="43"/>
        <v>14.300843117560955</v>
      </c>
      <c r="L336" s="20" t="str">
        <f t="shared" si="38"/>
        <v>Normal</v>
      </c>
      <c r="M336" s="20" t="str">
        <f t="shared" si="39"/>
        <v>Normal</v>
      </c>
      <c r="N336" s="20" t="str">
        <f t="shared" si="40"/>
        <v>No</v>
      </c>
    </row>
    <row r="337" spans="1:14" x14ac:dyDescent="0.25">
      <c r="A337" s="15">
        <v>43943</v>
      </c>
      <c r="B337" s="16">
        <v>2020</v>
      </c>
      <c r="C337" s="17">
        <v>476</v>
      </c>
      <c r="D337" s="17">
        <v>496</v>
      </c>
      <c r="E337" s="17">
        <v>466</v>
      </c>
      <c r="F337" s="17">
        <v>492</v>
      </c>
      <c r="G337" s="17">
        <v>404.03</v>
      </c>
      <c r="H337" s="18">
        <v>74583700</v>
      </c>
      <c r="I337" s="22" t="str">
        <f t="shared" si="41"/>
        <v>+</v>
      </c>
      <c r="J337" s="19">
        <f t="shared" si="42"/>
        <v>2.0746887966804977</v>
      </c>
      <c r="K337" s="19">
        <f t="shared" si="43"/>
        <v>-18.988085604642801</v>
      </c>
      <c r="L337" s="20" t="str">
        <f t="shared" si="38"/>
        <v>Normal</v>
      </c>
      <c r="M337" s="20" t="str">
        <f t="shared" si="39"/>
        <v>Normal</v>
      </c>
      <c r="N337" s="20" t="str">
        <f t="shared" si="40"/>
        <v>No</v>
      </c>
    </row>
    <row r="338" spans="1:14" x14ac:dyDescent="0.25">
      <c r="A338" s="15">
        <v>43944</v>
      </c>
      <c r="B338" s="16">
        <v>2020</v>
      </c>
      <c r="C338" s="17">
        <v>500</v>
      </c>
      <c r="D338" s="17">
        <v>505</v>
      </c>
      <c r="E338" s="17">
        <v>490</v>
      </c>
      <c r="F338" s="17">
        <v>498</v>
      </c>
      <c r="G338" s="17">
        <v>408.96</v>
      </c>
      <c r="H338" s="18">
        <v>86760800</v>
      </c>
      <c r="I338" s="22" t="str">
        <f t="shared" si="41"/>
        <v>+</v>
      </c>
      <c r="J338" s="19">
        <f t="shared" si="42"/>
        <v>1.2195121951219512</v>
      </c>
      <c r="K338" s="19">
        <f t="shared" si="43"/>
        <v>16.326757723202252</v>
      </c>
      <c r="L338" s="20" t="str">
        <f t="shared" si="38"/>
        <v>Normal</v>
      </c>
      <c r="M338" s="20" t="str">
        <f t="shared" si="39"/>
        <v>Normal</v>
      </c>
      <c r="N338" s="20" t="str">
        <f t="shared" si="40"/>
        <v>No</v>
      </c>
    </row>
    <row r="339" spans="1:14" x14ac:dyDescent="0.25">
      <c r="A339" s="15">
        <v>43945</v>
      </c>
      <c r="B339" s="16">
        <v>2020</v>
      </c>
      <c r="C339" s="17">
        <v>496</v>
      </c>
      <c r="D339" s="17">
        <v>515</v>
      </c>
      <c r="E339" s="17">
        <v>486</v>
      </c>
      <c r="F339" s="17">
        <v>494</v>
      </c>
      <c r="G339" s="17">
        <v>405.68</v>
      </c>
      <c r="H339" s="18">
        <v>86275300</v>
      </c>
      <c r="I339" s="22" t="str">
        <f t="shared" si="41"/>
        <v>-</v>
      </c>
      <c r="J339" s="19">
        <f t="shared" si="42"/>
        <v>-0.80321285140562237</v>
      </c>
      <c r="K339" s="19">
        <f t="shared" si="43"/>
        <v>-0.55958451282145849</v>
      </c>
      <c r="L339" s="20" t="str">
        <f t="shared" si="38"/>
        <v>Normal</v>
      </c>
      <c r="M339" s="20" t="str">
        <f t="shared" si="39"/>
        <v>Normal</v>
      </c>
      <c r="N339" s="20" t="str">
        <f t="shared" si="40"/>
        <v>No</v>
      </c>
    </row>
    <row r="340" spans="1:14" x14ac:dyDescent="0.25">
      <c r="A340" s="15">
        <v>43948</v>
      </c>
      <c r="B340" s="16">
        <v>2020</v>
      </c>
      <c r="C340" s="17">
        <v>494</v>
      </c>
      <c r="D340" s="17">
        <v>510</v>
      </c>
      <c r="E340" s="17">
        <v>494</v>
      </c>
      <c r="F340" s="17">
        <v>505</v>
      </c>
      <c r="G340" s="17">
        <v>414.71</v>
      </c>
      <c r="H340" s="18">
        <v>56062600</v>
      </c>
      <c r="I340" s="22" t="str">
        <f t="shared" si="41"/>
        <v>+</v>
      </c>
      <c r="J340" s="19">
        <f t="shared" si="42"/>
        <v>2.2267206477732793</v>
      </c>
      <c r="K340" s="19">
        <f t="shared" si="43"/>
        <v>-35.01894516738858</v>
      </c>
      <c r="L340" s="20" t="str">
        <f t="shared" si="38"/>
        <v>Normal</v>
      </c>
      <c r="M340" s="20" t="str">
        <f t="shared" si="39"/>
        <v>Normal</v>
      </c>
      <c r="N340" s="20" t="str">
        <f t="shared" si="40"/>
        <v>No</v>
      </c>
    </row>
    <row r="341" spans="1:14" x14ac:dyDescent="0.25">
      <c r="A341" s="15">
        <v>43949</v>
      </c>
      <c r="B341" s="16">
        <v>2020</v>
      </c>
      <c r="C341" s="17">
        <v>505</v>
      </c>
      <c r="D341" s="17">
        <v>510</v>
      </c>
      <c r="E341" s="17">
        <v>490</v>
      </c>
      <c r="F341" s="17">
        <v>492</v>
      </c>
      <c r="G341" s="17">
        <v>404.03</v>
      </c>
      <c r="H341" s="18">
        <v>45388100</v>
      </c>
      <c r="I341" s="22" t="str">
        <f t="shared" si="41"/>
        <v>-</v>
      </c>
      <c r="J341" s="19">
        <f t="shared" si="42"/>
        <v>-2.5742574257425743</v>
      </c>
      <c r="K341" s="19">
        <f t="shared" si="43"/>
        <v>-19.040322782032941</v>
      </c>
      <c r="L341" s="20" t="str">
        <f t="shared" si="38"/>
        <v>Normal</v>
      </c>
      <c r="M341" s="20" t="str">
        <f t="shared" si="39"/>
        <v>Normal</v>
      </c>
      <c r="N341" s="20" t="str">
        <f t="shared" si="40"/>
        <v>No</v>
      </c>
    </row>
    <row r="342" spans="1:14" x14ac:dyDescent="0.25">
      <c r="A342" s="15">
        <v>43950</v>
      </c>
      <c r="B342" s="16">
        <v>2020</v>
      </c>
      <c r="C342" s="17">
        <v>492</v>
      </c>
      <c r="D342" s="17">
        <v>500</v>
      </c>
      <c r="E342" s="17">
        <v>492</v>
      </c>
      <c r="F342" s="17">
        <v>498</v>
      </c>
      <c r="G342" s="17">
        <v>408.96</v>
      </c>
      <c r="H342" s="18">
        <v>25492400</v>
      </c>
      <c r="I342" s="22" t="str">
        <f t="shared" si="41"/>
        <v>+</v>
      </c>
      <c r="J342" s="19">
        <f t="shared" si="42"/>
        <v>1.2195121951219512</v>
      </c>
      <c r="K342" s="19">
        <f t="shared" si="43"/>
        <v>-43.834617443779315</v>
      </c>
      <c r="L342" s="20" t="str">
        <f t="shared" si="38"/>
        <v>Normal</v>
      </c>
      <c r="M342" s="20" t="str">
        <f t="shared" si="39"/>
        <v>Normal</v>
      </c>
      <c r="N342" s="20" t="str">
        <f t="shared" si="40"/>
        <v>No</v>
      </c>
    </row>
    <row r="343" spans="1:14" x14ac:dyDescent="0.25">
      <c r="A343" s="15">
        <v>43951</v>
      </c>
      <c r="B343" s="16">
        <v>2020</v>
      </c>
      <c r="C343" s="17">
        <v>500</v>
      </c>
      <c r="D343" s="17">
        <v>525</v>
      </c>
      <c r="E343" s="17">
        <v>500</v>
      </c>
      <c r="F343" s="17">
        <v>510</v>
      </c>
      <c r="G343" s="17">
        <v>418.82</v>
      </c>
      <c r="H343" s="18">
        <v>85174700</v>
      </c>
      <c r="I343" s="22" t="str">
        <f t="shared" si="41"/>
        <v>+</v>
      </c>
      <c r="J343" s="19">
        <f t="shared" si="42"/>
        <v>2.4096385542168677</v>
      </c>
      <c r="K343" s="19">
        <f t="shared" si="43"/>
        <v>234.11801164268567</v>
      </c>
      <c r="L343" s="20" t="str">
        <f t="shared" si="38"/>
        <v>Normal</v>
      </c>
      <c r="M343" s="20" t="str">
        <f t="shared" si="39"/>
        <v>Sharp Volume Increase</v>
      </c>
      <c r="N343" s="20" t="str">
        <f t="shared" si="40"/>
        <v>No</v>
      </c>
    </row>
    <row r="344" spans="1:14" x14ac:dyDescent="0.25">
      <c r="A344" s="15">
        <v>43955</v>
      </c>
      <c r="B344" s="16">
        <v>2020</v>
      </c>
      <c r="C344" s="17">
        <v>490</v>
      </c>
      <c r="D344" s="17">
        <v>505</v>
      </c>
      <c r="E344" s="17">
        <v>484</v>
      </c>
      <c r="F344" s="17">
        <v>494</v>
      </c>
      <c r="G344" s="17">
        <v>405.68</v>
      </c>
      <c r="H344" s="18">
        <v>64158400</v>
      </c>
      <c r="I344" s="22" t="str">
        <f t="shared" si="41"/>
        <v>-</v>
      </c>
      <c r="J344" s="19">
        <f t="shared" si="42"/>
        <v>-3.1372549019607843</v>
      </c>
      <c r="K344" s="19">
        <f t="shared" si="43"/>
        <v>-24.67434578577911</v>
      </c>
      <c r="L344" s="20" t="str">
        <f t="shared" si="38"/>
        <v>Normal</v>
      </c>
      <c r="M344" s="20" t="str">
        <f t="shared" si="39"/>
        <v>Normal</v>
      </c>
      <c r="N344" s="20" t="str">
        <f t="shared" si="40"/>
        <v>No</v>
      </c>
    </row>
    <row r="345" spans="1:14" x14ac:dyDescent="0.25">
      <c r="A345" s="15">
        <v>43956</v>
      </c>
      <c r="B345" s="16">
        <v>2020</v>
      </c>
      <c r="C345" s="17">
        <v>500</v>
      </c>
      <c r="D345" s="17">
        <v>505</v>
      </c>
      <c r="E345" s="17">
        <v>494</v>
      </c>
      <c r="F345" s="17">
        <v>500</v>
      </c>
      <c r="G345" s="17">
        <v>410.6</v>
      </c>
      <c r="H345" s="18">
        <v>37904200</v>
      </c>
      <c r="I345" s="22" t="str">
        <f t="shared" si="41"/>
        <v>+</v>
      </c>
      <c r="J345" s="19">
        <f t="shared" si="42"/>
        <v>1.214574898785425</v>
      </c>
      <c r="K345" s="19">
        <f t="shared" si="43"/>
        <v>-40.92090825207611</v>
      </c>
      <c r="L345" s="20" t="str">
        <f t="shared" si="38"/>
        <v>Normal</v>
      </c>
      <c r="M345" s="20" t="str">
        <f t="shared" si="39"/>
        <v>Normal</v>
      </c>
      <c r="N345" s="20" t="str">
        <f t="shared" si="40"/>
        <v>No</v>
      </c>
    </row>
    <row r="346" spans="1:14" x14ac:dyDescent="0.25">
      <c r="A346" s="15">
        <v>43957</v>
      </c>
      <c r="B346" s="16">
        <v>2020</v>
      </c>
      <c r="C346" s="17">
        <v>505</v>
      </c>
      <c r="D346" s="17">
        <v>510</v>
      </c>
      <c r="E346" s="17">
        <v>498</v>
      </c>
      <c r="F346" s="17">
        <v>500</v>
      </c>
      <c r="G346" s="17">
        <v>410.6</v>
      </c>
      <c r="H346" s="18">
        <v>40511700</v>
      </c>
      <c r="I346" s="22" t="str">
        <f t="shared" si="41"/>
        <v>0</v>
      </c>
      <c r="J346" s="19">
        <f t="shared" si="42"/>
        <v>0</v>
      </c>
      <c r="K346" s="19">
        <f t="shared" si="43"/>
        <v>6.8791848924393602</v>
      </c>
      <c r="L346" s="20" t="str">
        <f t="shared" si="38"/>
        <v>Normal</v>
      </c>
      <c r="M346" s="20" t="str">
        <f t="shared" si="39"/>
        <v>Normal</v>
      </c>
      <c r="N346" s="20" t="str">
        <f t="shared" si="40"/>
        <v>No</v>
      </c>
    </row>
    <row r="347" spans="1:14" x14ac:dyDescent="0.25">
      <c r="A347" s="15">
        <v>43959</v>
      </c>
      <c r="B347" s="16">
        <v>2020</v>
      </c>
      <c r="C347" s="17">
        <v>505</v>
      </c>
      <c r="D347" s="17">
        <v>540</v>
      </c>
      <c r="E347" s="17">
        <v>500</v>
      </c>
      <c r="F347" s="17">
        <v>535</v>
      </c>
      <c r="G347" s="17">
        <v>439.35</v>
      </c>
      <c r="H347" s="18">
        <v>185061500</v>
      </c>
      <c r="I347" s="22" t="str">
        <f t="shared" si="41"/>
        <v>+</v>
      </c>
      <c r="J347" s="19">
        <f t="shared" si="42"/>
        <v>7.0000000000000009</v>
      </c>
      <c r="K347" s="19">
        <f t="shared" si="43"/>
        <v>356.81000797300533</v>
      </c>
      <c r="L347" s="20" t="str">
        <f t="shared" si="38"/>
        <v>Sharp Price Increase</v>
      </c>
      <c r="M347" s="20" t="str">
        <f t="shared" si="39"/>
        <v>Sharp Volume Increase</v>
      </c>
      <c r="N347" s="21" t="str">
        <f t="shared" si="40"/>
        <v>Yes</v>
      </c>
    </row>
    <row r="348" spans="1:14" x14ac:dyDescent="0.25">
      <c r="A348" s="15">
        <v>43962</v>
      </c>
      <c r="B348" s="16">
        <v>2020</v>
      </c>
      <c r="C348" s="17">
        <v>545</v>
      </c>
      <c r="D348" s="17">
        <v>555</v>
      </c>
      <c r="E348" s="17">
        <v>530</v>
      </c>
      <c r="F348" s="17">
        <v>530</v>
      </c>
      <c r="G348" s="17">
        <v>435.24</v>
      </c>
      <c r="H348" s="18">
        <v>113381700</v>
      </c>
      <c r="I348" s="22" t="str">
        <f t="shared" si="41"/>
        <v>-</v>
      </c>
      <c r="J348" s="19">
        <f t="shared" si="42"/>
        <v>-0.93457943925233633</v>
      </c>
      <c r="K348" s="19">
        <f t="shared" si="43"/>
        <v>-38.732961745149588</v>
      </c>
      <c r="L348" s="20" t="str">
        <f t="shared" si="38"/>
        <v>Normal</v>
      </c>
      <c r="M348" s="20" t="str">
        <f t="shared" si="39"/>
        <v>Normal</v>
      </c>
      <c r="N348" s="20" t="str">
        <f t="shared" si="40"/>
        <v>No</v>
      </c>
    </row>
    <row r="349" spans="1:14" x14ac:dyDescent="0.25">
      <c r="A349" s="15">
        <v>43963</v>
      </c>
      <c r="B349" s="16">
        <v>2020</v>
      </c>
      <c r="C349" s="17">
        <v>525</v>
      </c>
      <c r="D349" s="17">
        <v>530</v>
      </c>
      <c r="E349" s="17">
        <v>510</v>
      </c>
      <c r="F349" s="17">
        <v>515</v>
      </c>
      <c r="G349" s="17">
        <v>422.92</v>
      </c>
      <c r="H349" s="18">
        <v>47048500</v>
      </c>
      <c r="I349" s="22" t="str">
        <f t="shared" si="41"/>
        <v>-</v>
      </c>
      <c r="J349" s="19">
        <f t="shared" si="42"/>
        <v>-2.8301886792452833</v>
      </c>
      <c r="K349" s="19">
        <f t="shared" si="43"/>
        <v>-58.504326535940102</v>
      </c>
      <c r="L349" s="20" t="str">
        <f t="shared" si="38"/>
        <v>Normal</v>
      </c>
      <c r="M349" s="20" t="str">
        <f t="shared" si="39"/>
        <v>Sharp Volume Decrease</v>
      </c>
      <c r="N349" s="20" t="str">
        <f t="shared" si="40"/>
        <v>No</v>
      </c>
    </row>
    <row r="350" spans="1:14" x14ac:dyDescent="0.25">
      <c r="A350" s="15">
        <v>43964</v>
      </c>
      <c r="B350" s="16">
        <v>2020</v>
      </c>
      <c r="C350" s="17">
        <v>515</v>
      </c>
      <c r="D350" s="17">
        <v>540</v>
      </c>
      <c r="E350" s="17">
        <v>505</v>
      </c>
      <c r="F350" s="17">
        <v>535</v>
      </c>
      <c r="G350" s="17">
        <v>439.35</v>
      </c>
      <c r="H350" s="18">
        <v>69026200</v>
      </c>
      <c r="I350" s="22" t="str">
        <f t="shared" si="41"/>
        <v>+</v>
      </c>
      <c r="J350" s="19">
        <f t="shared" si="42"/>
        <v>3.8834951456310676</v>
      </c>
      <c r="K350" s="19">
        <f t="shared" si="43"/>
        <v>46.712860133691834</v>
      </c>
      <c r="L350" s="20" t="str">
        <f t="shared" si="38"/>
        <v>Normal</v>
      </c>
      <c r="M350" s="20" t="str">
        <f t="shared" si="39"/>
        <v>Normal</v>
      </c>
      <c r="N350" s="20" t="str">
        <f t="shared" si="40"/>
        <v>No</v>
      </c>
    </row>
    <row r="351" spans="1:14" x14ac:dyDescent="0.25">
      <c r="A351" s="15">
        <v>43965</v>
      </c>
      <c r="B351" s="16">
        <v>2020</v>
      </c>
      <c r="C351" s="17">
        <v>530</v>
      </c>
      <c r="D351" s="17">
        <v>550</v>
      </c>
      <c r="E351" s="17">
        <v>510</v>
      </c>
      <c r="F351" s="17">
        <v>515</v>
      </c>
      <c r="G351" s="17">
        <v>422.92</v>
      </c>
      <c r="H351" s="18">
        <v>81959800</v>
      </c>
      <c r="I351" s="22" t="str">
        <f t="shared" si="41"/>
        <v>-</v>
      </c>
      <c r="J351" s="19">
        <f t="shared" si="42"/>
        <v>-3.7383177570093453</v>
      </c>
      <c r="K351" s="19">
        <f t="shared" si="43"/>
        <v>18.737233108587752</v>
      </c>
      <c r="L351" s="20" t="str">
        <f t="shared" si="38"/>
        <v>Normal</v>
      </c>
      <c r="M351" s="20" t="str">
        <f t="shared" si="39"/>
        <v>Normal</v>
      </c>
      <c r="N351" s="20" t="str">
        <f t="shared" si="40"/>
        <v>No</v>
      </c>
    </row>
    <row r="352" spans="1:14" x14ac:dyDescent="0.25">
      <c r="A352" s="15">
        <v>43966</v>
      </c>
      <c r="B352" s="16">
        <v>2020</v>
      </c>
      <c r="C352" s="17">
        <v>525</v>
      </c>
      <c r="D352" s="17">
        <v>530</v>
      </c>
      <c r="E352" s="17">
        <v>505</v>
      </c>
      <c r="F352" s="17">
        <v>520</v>
      </c>
      <c r="G352" s="17">
        <v>427.03</v>
      </c>
      <c r="H352" s="18">
        <v>67020800</v>
      </c>
      <c r="I352" s="22" t="str">
        <f t="shared" si="41"/>
        <v>+</v>
      </c>
      <c r="J352" s="19">
        <f t="shared" si="42"/>
        <v>0.97087378640776689</v>
      </c>
      <c r="K352" s="19">
        <f t="shared" si="43"/>
        <v>-18.227228470542876</v>
      </c>
      <c r="L352" s="20" t="str">
        <f t="shared" si="38"/>
        <v>Normal</v>
      </c>
      <c r="M352" s="20" t="str">
        <f t="shared" si="39"/>
        <v>Normal</v>
      </c>
      <c r="N352" s="20" t="str">
        <f t="shared" si="40"/>
        <v>No</v>
      </c>
    </row>
    <row r="353" spans="1:14" x14ac:dyDescent="0.25">
      <c r="A353" s="15">
        <v>43969</v>
      </c>
      <c r="B353" s="16">
        <v>2020</v>
      </c>
      <c r="C353" s="17">
        <v>525</v>
      </c>
      <c r="D353" s="17">
        <v>535</v>
      </c>
      <c r="E353" s="17">
        <v>520</v>
      </c>
      <c r="F353" s="17">
        <v>525</v>
      </c>
      <c r="G353" s="17">
        <v>431.13</v>
      </c>
      <c r="H353" s="18">
        <v>46702500</v>
      </c>
      <c r="I353" s="22" t="str">
        <f t="shared" si="41"/>
        <v>+</v>
      </c>
      <c r="J353" s="19">
        <f t="shared" si="42"/>
        <v>0.96153846153846156</v>
      </c>
      <c r="K353" s="19">
        <f t="shared" si="43"/>
        <v>-30.316409234148207</v>
      </c>
      <c r="L353" s="20" t="str">
        <f t="shared" si="38"/>
        <v>Normal</v>
      </c>
      <c r="M353" s="20" t="str">
        <f t="shared" si="39"/>
        <v>Normal</v>
      </c>
      <c r="N353" s="20" t="str">
        <f t="shared" si="40"/>
        <v>No</v>
      </c>
    </row>
    <row r="354" spans="1:14" x14ac:dyDescent="0.25">
      <c r="A354" s="15">
        <v>43970</v>
      </c>
      <c r="B354" s="16">
        <v>2020</v>
      </c>
      <c r="C354" s="17">
        <v>535</v>
      </c>
      <c r="D354" s="17">
        <v>545</v>
      </c>
      <c r="E354" s="17">
        <v>525</v>
      </c>
      <c r="F354" s="17">
        <v>525</v>
      </c>
      <c r="G354" s="17">
        <v>431.13</v>
      </c>
      <c r="H354" s="18">
        <v>61033100</v>
      </c>
      <c r="I354" s="22" t="str">
        <f t="shared" si="41"/>
        <v>0</v>
      </c>
      <c r="J354" s="19">
        <f t="shared" si="42"/>
        <v>0</v>
      </c>
      <c r="K354" s="19">
        <f t="shared" si="43"/>
        <v>30.684866977142551</v>
      </c>
      <c r="L354" s="20" t="str">
        <f t="shared" si="38"/>
        <v>Normal</v>
      </c>
      <c r="M354" s="20" t="str">
        <f t="shared" si="39"/>
        <v>Normal</v>
      </c>
      <c r="N354" s="20" t="str">
        <f t="shared" si="40"/>
        <v>No</v>
      </c>
    </row>
    <row r="355" spans="1:14" x14ac:dyDescent="0.25">
      <c r="A355" s="15">
        <v>43971</v>
      </c>
      <c r="B355" s="16">
        <v>2020</v>
      </c>
      <c r="C355" s="17">
        <v>530</v>
      </c>
      <c r="D355" s="17">
        <v>535</v>
      </c>
      <c r="E355" s="17">
        <v>510</v>
      </c>
      <c r="F355" s="17">
        <v>520</v>
      </c>
      <c r="G355" s="17">
        <v>427.03</v>
      </c>
      <c r="H355" s="18">
        <v>41916400</v>
      </c>
      <c r="I355" s="22" t="str">
        <f t="shared" si="41"/>
        <v>-</v>
      </c>
      <c r="J355" s="19">
        <f t="shared" si="42"/>
        <v>-0.95238095238095244</v>
      </c>
      <c r="K355" s="19">
        <f t="shared" si="43"/>
        <v>-31.321856500816768</v>
      </c>
      <c r="L355" s="20" t="str">
        <f t="shared" si="38"/>
        <v>Normal</v>
      </c>
      <c r="M355" s="20" t="str">
        <f t="shared" si="39"/>
        <v>Normal</v>
      </c>
      <c r="N355" s="20" t="str">
        <f t="shared" si="40"/>
        <v>No</v>
      </c>
    </row>
    <row r="356" spans="1:14" x14ac:dyDescent="0.25">
      <c r="A356" s="15">
        <v>43977</v>
      </c>
      <c r="B356" s="16">
        <v>2020</v>
      </c>
      <c r="C356" s="17">
        <v>530</v>
      </c>
      <c r="D356" s="17">
        <v>530</v>
      </c>
      <c r="E356" s="17">
        <v>515</v>
      </c>
      <c r="F356" s="17">
        <v>530</v>
      </c>
      <c r="G356" s="17">
        <v>435.24</v>
      </c>
      <c r="H356" s="18">
        <v>32358800</v>
      </c>
      <c r="I356" s="22" t="str">
        <f t="shared" si="41"/>
        <v>+</v>
      </c>
      <c r="J356" s="19">
        <f t="shared" si="42"/>
        <v>1.9230769230769231</v>
      </c>
      <c r="K356" s="19">
        <f t="shared" si="43"/>
        <v>-22.801576471261846</v>
      </c>
      <c r="L356" s="20" t="str">
        <f t="shared" si="38"/>
        <v>Normal</v>
      </c>
      <c r="M356" s="20" t="str">
        <f t="shared" si="39"/>
        <v>Normal</v>
      </c>
      <c r="N356" s="20" t="str">
        <f t="shared" si="40"/>
        <v>No</v>
      </c>
    </row>
    <row r="357" spans="1:14" x14ac:dyDescent="0.25">
      <c r="A357" s="15">
        <v>43978</v>
      </c>
      <c r="B357" s="16">
        <v>2020</v>
      </c>
      <c r="C357" s="17">
        <v>530</v>
      </c>
      <c r="D357" s="17">
        <v>535</v>
      </c>
      <c r="E357" s="17">
        <v>515</v>
      </c>
      <c r="F357" s="17">
        <v>520</v>
      </c>
      <c r="G357" s="17">
        <v>427.03</v>
      </c>
      <c r="H357" s="18">
        <v>43519100</v>
      </c>
      <c r="I357" s="22" t="str">
        <f t="shared" si="41"/>
        <v>-</v>
      </c>
      <c r="J357" s="19">
        <f t="shared" si="42"/>
        <v>-1.8867924528301887</v>
      </c>
      <c r="K357" s="19">
        <f t="shared" si="43"/>
        <v>34.489227041793882</v>
      </c>
      <c r="L357" s="20" t="str">
        <f t="shared" si="38"/>
        <v>Normal</v>
      </c>
      <c r="M357" s="20" t="str">
        <f t="shared" si="39"/>
        <v>Normal</v>
      </c>
      <c r="N357" s="20" t="str">
        <f t="shared" si="40"/>
        <v>No</v>
      </c>
    </row>
    <row r="358" spans="1:14" x14ac:dyDescent="0.25">
      <c r="A358" s="15">
        <v>43979</v>
      </c>
      <c r="B358" s="16">
        <v>2020</v>
      </c>
      <c r="C358" s="17">
        <v>520</v>
      </c>
      <c r="D358" s="17">
        <v>540</v>
      </c>
      <c r="E358" s="17">
        <v>515</v>
      </c>
      <c r="F358" s="17">
        <v>525</v>
      </c>
      <c r="G358" s="17">
        <v>431.13</v>
      </c>
      <c r="H358" s="18">
        <v>71853100</v>
      </c>
      <c r="I358" s="22" t="str">
        <f t="shared" si="41"/>
        <v>+</v>
      </c>
      <c r="J358" s="19">
        <f t="shared" si="42"/>
        <v>0.96153846153846156</v>
      </c>
      <c r="K358" s="19">
        <f t="shared" si="43"/>
        <v>65.107044952675949</v>
      </c>
      <c r="L358" s="20" t="str">
        <f t="shared" si="38"/>
        <v>Normal</v>
      </c>
      <c r="M358" s="20" t="str">
        <f t="shared" si="39"/>
        <v>Normal</v>
      </c>
      <c r="N358" s="20" t="str">
        <f t="shared" si="40"/>
        <v>No</v>
      </c>
    </row>
    <row r="359" spans="1:14" x14ac:dyDescent="0.25">
      <c r="A359" s="15">
        <v>43980</v>
      </c>
      <c r="B359" s="16">
        <v>2020</v>
      </c>
      <c r="C359" s="17">
        <v>525</v>
      </c>
      <c r="D359" s="17">
        <v>535</v>
      </c>
      <c r="E359" s="17">
        <v>520</v>
      </c>
      <c r="F359" s="17">
        <v>535</v>
      </c>
      <c r="G359" s="17">
        <v>439.35</v>
      </c>
      <c r="H359" s="18">
        <v>58928900</v>
      </c>
      <c r="I359" s="22" t="str">
        <f t="shared" si="41"/>
        <v>+</v>
      </c>
      <c r="J359" s="19">
        <f t="shared" si="42"/>
        <v>1.9047619047619049</v>
      </c>
      <c r="K359" s="19">
        <f t="shared" si="43"/>
        <v>-17.98697620561952</v>
      </c>
      <c r="L359" s="20" t="str">
        <f t="shared" si="38"/>
        <v>Normal</v>
      </c>
      <c r="M359" s="20" t="str">
        <f t="shared" si="39"/>
        <v>Normal</v>
      </c>
      <c r="N359" s="20" t="str">
        <f t="shared" si="40"/>
        <v>No</v>
      </c>
    </row>
    <row r="360" spans="1:14" x14ac:dyDescent="0.25">
      <c r="A360" s="15">
        <v>43984</v>
      </c>
      <c r="B360" s="16">
        <v>2020</v>
      </c>
      <c r="C360" s="17">
        <v>540</v>
      </c>
      <c r="D360" s="17">
        <v>570</v>
      </c>
      <c r="E360" s="17">
        <v>535</v>
      </c>
      <c r="F360" s="17">
        <v>555</v>
      </c>
      <c r="G360" s="17">
        <v>455.77</v>
      </c>
      <c r="H360" s="18">
        <v>137754600</v>
      </c>
      <c r="I360" s="22" t="str">
        <f t="shared" si="41"/>
        <v>+</v>
      </c>
      <c r="J360" s="19">
        <f t="shared" si="42"/>
        <v>3.7383177570093453</v>
      </c>
      <c r="K360" s="19">
        <f t="shared" si="43"/>
        <v>133.76407840635071</v>
      </c>
      <c r="L360" s="20" t="str">
        <f t="shared" si="38"/>
        <v>Normal</v>
      </c>
      <c r="M360" s="20" t="str">
        <f t="shared" si="39"/>
        <v>Normal</v>
      </c>
      <c r="N360" s="20" t="str">
        <f t="shared" si="40"/>
        <v>No</v>
      </c>
    </row>
    <row r="361" spans="1:14" x14ac:dyDescent="0.25">
      <c r="A361" s="15">
        <v>43985</v>
      </c>
      <c r="B361" s="16">
        <v>2020</v>
      </c>
      <c r="C361" s="17">
        <v>565</v>
      </c>
      <c r="D361" s="17">
        <v>580</v>
      </c>
      <c r="E361" s="17">
        <v>545</v>
      </c>
      <c r="F361" s="17">
        <v>555</v>
      </c>
      <c r="G361" s="17">
        <v>455.77</v>
      </c>
      <c r="H361" s="18">
        <v>147855500</v>
      </c>
      <c r="I361" s="22" t="str">
        <f t="shared" si="41"/>
        <v>0</v>
      </c>
      <c r="J361" s="19">
        <f t="shared" si="42"/>
        <v>0</v>
      </c>
      <c r="K361" s="19">
        <f t="shared" si="43"/>
        <v>7.3325319081903624</v>
      </c>
      <c r="L361" s="20" t="str">
        <f t="shared" si="38"/>
        <v>Normal</v>
      </c>
      <c r="M361" s="20" t="str">
        <f t="shared" si="39"/>
        <v>Normal</v>
      </c>
      <c r="N361" s="20" t="str">
        <f t="shared" si="40"/>
        <v>No</v>
      </c>
    </row>
    <row r="362" spans="1:14" x14ac:dyDescent="0.25">
      <c r="A362" s="15">
        <v>43986</v>
      </c>
      <c r="B362" s="16">
        <v>2020</v>
      </c>
      <c r="C362" s="17">
        <v>565</v>
      </c>
      <c r="D362" s="17">
        <v>590</v>
      </c>
      <c r="E362" s="17">
        <v>550</v>
      </c>
      <c r="F362" s="17">
        <v>570</v>
      </c>
      <c r="G362" s="17">
        <v>468.09</v>
      </c>
      <c r="H362" s="18">
        <v>214067000</v>
      </c>
      <c r="I362" s="22" t="str">
        <f t="shared" si="41"/>
        <v>+</v>
      </c>
      <c r="J362" s="19">
        <f t="shared" si="42"/>
        <v>2.7027027027027026</v>
      </c>
      <c r="K362" s="19">
        <f t="shared" si="43"/>
        <v>44.781222206816793</v>
      </c>
      <c r="L362" s="20" t="str">
        <f t="shared" si="38"/>
        <v>Normal</v>
      </c>
      <c r="M362" s="20" t="str">
        <f t="shared" si="39"/>
        <v>Normal</v>
      </c>
      <c r="N362" s="20" t="str">
        <f t="shared" si="40"/>
        <v>No</v>
      </c>
    </row>
    <row r="363" spans="1:14" x14ac:dyDescent="0.25">
      <c r="A363" s="15">
        <v>43987</v>
      </c>
      <c r="B363" s="16">
        <v>2020</v>
      </c>
      <c r="C363" s="17">
        <v>575</v>
      </c>
      <c r="D363" s="17">
        <v>600</v>
      </c>
      <c r="E363" s="17">
        <v>575</v>
      </c>
      <c r="F363" s="17">
        <v>590</v>
      </c>
      <c r="G363" s="17">
        <v>484.51</v>
      </c>
      <c r="H363" s="18">
        <v>187740200</v>
      </c>
      <c r="I363" s="22" t="str">
        <f t="shared" si="41"/>
        <v>+</v>
      </c>
      <c r="J363" s="19">
        <f t="shared" si="42"/>
        <v>3.5087719298245612</v>
      </c>
      <c r="K363" s="19">
        <f t="shared" si="43"/>
        <v>-12.298392559338899</v>
      </c>
      <c r="L363" s="20" t="str">
        <f t="shared" si="38"/>
        <v>Normal</v>
      </c>
      <c r="M363" s="20" t="str">
        <f t="shared" si="39"/>
        <v>Normal</v>
      </c>
      <c r="N363" s="20" t="str">
        <f t="shared" si="40"/>
        <v>No</v>
      </c>
    </row>
    <row r="364" spans="1:14" x14ac:dyDescent="0.25">
      <c r="A364" s="15">
        <v>43990</v>
      </c>
      <c r="B364" s="16">
        <v>2020</v>
      </c>
      <c r="C364" s="17">
        <v>595</v>
      </c>
      <c r="D364" s="17">
        <v>645</v>
      </c>
      <c r="E364" s="17">
        <v>595</v>
      </c>
      <c r="F364" s="17">
        <v>630</v>
      </c>
      <c r="G364" s="17">
        <v>517.36</v>
      </c>
      <c r="H364" s="18">
        <v>246393600</v>
      </c>
      <c r="I364" s="22" t="str">
        <f t="shared" si="41"/>
        <v>+</v>
      </c>
      <c r="J364" s="19">
        <f t="shared" si="42"/>
        <v>6.7796610169491522</v>
      </c>
      <c r="K364" s="19">
        <f t="shared" si="43"/>
        <v>31.241790516895158</v>
      </c>
      <c r="L364" s="20" t="str">
        <f t="shared" si="38"/>
        <v>Sharp Price Increase</v>
      </c>
      <c r="M364" s="20" t="str">
        <f t="shared" si="39"/>
        <v>Normal</v>
      </c>
      <c r="N364" s="20" t="str">
        <f t="shared" si="40"/>
        <v>No</v>
      </c>
    </row>
    <row r="365" spans="1:14" x14ac:dyDescent="0.25">
      <c r="A365" s="15">
        <v>43991</v>
      </c>
      <c r="B365" s="16">
        <v>2020</v>
      </c>
      <c r="C365" s="17">
        <v>640</v>
      </c>
      <c r="D365" s="17">
        <v>650</v>
      </c>
      <c r="E365" s="17">
        <v>605</v>
      </c>
      <c r="F365" s="17">
        <v>610</v>
      </c>
      <c r="G365" s="17">
        <v>500.94</v>
      </c>
      <c r="H365" s="18">
        <v>137515700</v>
      </c>
      <c r="I365" s="22" t="str">
        <f t="shared" si="41"/>
        <v>-</v>
      </c>
      <c r="J365" s="19">
        <f t="shared" si="42"/>
        <v>-3.1746031746031744</v>
      </c>
      <c r="K365" s="19">
        <f t="shared" si="43"/>
        <v>-44.188607171614848</v>
      </c>
      <c r="L365" s="20" t="str">
        <f t="shared" si="38"/>
        <v>Normal</v>
      </c>
      <c r="M365" s="20" t="str">
        <f t="shared" si="39"/>
        <v>Normal</v>
      </c>
      <c r="N365" s="20" t="str">
        <f t="shared" si="40"/>
        <v>No</v>
      </c>
    </row>
    <row r="366" spans="1:14" x14ac:dyDescent="0.25">
      <c r="A366" s="15">
        <v>43992</v>
      </c>
      <c r="B366" s="16">
        <v>2020</v>
      </c>
      <c r="C366" s="17">
        <v>615</v>
      </c>
      <c r="D366" s="17">
        <v>620</v>
      </c>
      <c r="E366" s="17">
        <v>580</v>
      </c>
      <c r="F366" s="17">
        <v>595</v>
      </c>
      <c r="G366" s="17">
        <v>488.62</v>
      </c>
      <c r="H366" s="18">
        <v>78090100</v>
      </c>
      <c r="I366" s="22" t="str">
        <f t="shared" si="41"/>
        <v>-</v>
      </c>
      <c r="J366" s="19">
        <f t="shared" si="42"/>
        <v>-2.459016393442623</v>
      </c>
      <c r="K366" s="19">
        <f t="shared" si="43"/>
        <v>-43.213683964812745</v>
      </c>
      <c r="L366" s="20" t="str">
        <f t="shared" si="38"/>
        <v>Normal</v>
      </c>
      <c r="M366" s="20" t="str">
        <f t="shared" si="39"/>
        <v>Normal</v>
      </c>
      <c r="N366" s="20" t="str">
        <f t="shared" si="40"/>
        <v>No</v>
      </c>
    </row>
    <row r="367" spans="1:14" x14ac:dyDescent="0.25">
      <c r="A367" s="15">
        <v>43993</v>
      </c>
      <c r="B367" s="16">
        <v>2020</v>
      </c>
      <c r="C367" s="17">
        <v>600</v>
      </c>
      <c r="D367" s="17">
        <v>605</v>
      </c>
      <c r="E367" s="17">
        <v>570</v>
      </c>
      <c r="F367" s="17">
        <v>580</v>
      </c>
      <c r="G367" s="17">
        <v>476.3</v>
      </c>
      <c r="H367" s="18">
        <v>73061000</v>
      </c>
      <c r="I367" s="22" t="str">
        <f t="shared" si="41"/>
        <v>-</v>
      </c>
      <c r="J367" s="19">
        <f t="shared" si="42"/>
        <v>-2.5210084033613445</v>
      </c>
      <c r="K367" s="19">
        <f t="shared" si="43"/>
        <v>-6.4401249326098959</v>
      </c>
      <c r="L367" s="20" t="str">
        <f t="shared" si="38"/>
        <v>Normal</v>
      </c>
      <c r="M367" s="20" t="str">
        <f t="shared" si="39"/>
        <v>Normal</v>
      </c>
      <c r="N367" s="20" t="str">
        <f t="shared" si="40"/>
        <v>No</v>
      </c>
    </row>
    <row r="368" spans="1:14" x14ac:dyDescent="0.25">
      <c r="A368" s="15">
        <v>43994</v>
      </c>
      <c r="B368" s="16">
        <v>2020</v>
      </c>
      <c r="C368" s="17">
        <v>560</v>
      </c>
      <c r="D368" s="17">
        <v>580</v>
      </c>
      <c r="E368" s="17">
        <v>545</v>
      </c>
      <c r="F368" s="17">
        <v>580</v>
      </c>
      <c r="G368" s="17">
        <v>476.3</v>
      </c>
      <c r="H368" s="18">
        <v>58198800</v>
      </c>
      <c r="I368" s="22" t="str">
        <f t="shared" si="41"/>
        <v>0</v>
      </c>
      <c r="J368" s="19">
        <f t="shared" si="42"/>
        <v>0</v>
      </c>
      <c r="K368" s="19">
        <f t="shared" si="43"/>
        <v>-20.342179822340238</v>
      </c>
      <c r="L368" s="20" t="str">
        <f t="shared" si="38"/>
        <v>Normal</v>
      </c>
      <c r="M368" s="20" t="str">
        <f t="shared" si="39"/>
        <v>Normal</v>
      </c>
      <c r="N368" s="20" t="str">
        <f t="shared" si="40"/>
        <v>No</v>
      </c>
    </row>
    <row r="369" spans="1:14" x14ac:dyDescent="0.25">
      <c r="A369" s="15">
        <v>43997</v>
      </c>
      <c r="B369" s="16">
        <v>2020</v>
      </c>
      <c r="C369" s="17">
        <v>585</v>
      </c>
      <c r="D369" s="17">
        <v>595</v>
      </c>
      <c r="E369" s="17">
        <v>560</v>
      </c>
      <c r="F369" s="17">
        <v>565</v>
      </c>
      <c r="G369" s="17">
        <v>463.98</v>
      </c>
      <c r="H369" s="18">
        <v>44814200</v>
      </c>
      <c r="I369" s="22" t="str">
        <f t="shared" si="41"/>
        <v>-</v>
      </c>
      <c r="J369" s="19">
        <f t="shared" si="42"/>
        <v>-2.5862068965517242</v>
      </c>
      <c r="K369" s="19">
        <f t="shared" si="43"/>
        <v>-22.998068688701483</v>
      </c>
      <c r="L369" s="20" t="str">
        <f t="shared" si="38"/>
        <v>Normal</v>
      </c>
      <c r="M369" s="20" t="str">
        <f t="shared" si="39"/>
        <v>Normal</v>
      </c>
      <c r="N369" s="20" t="str">
        <f t="shared" si="40"/>
        <v>No</v>
      </c>
    </row>
    <row r="370" spans="1:14" x14ac:dyDescent="0.25">
      <c r="A370" s="15">
        <v>43998</v>
      </c>
      <c r="B370" s="16">
        <v>2020</v>
      </c>
      <c r="C370" s="17">
        <v>575</v>
      </c>
      <c r="D370" s="17">
        <v>610</v>
      </c>
      <c r="E370" s="17">
        <v>570</v>
      </c>
      <c r="F370" s="17">
        <v>610</v>
      </c>
      <c r="G370" s="17">
        <v>500.94</v>
      </c>
      <c r="H370" s="18">
        <v>110517900</v>
      </c>
      <c r="I370" s="22" t="str">
        <f t="shared" si="41"/>
        <v>+</v>
      </c>
      <c r="J370" s="19">
        <f t="shared" si="42"/>
        <v>7.9646017699115044</v>
      </c>
      <c r="K370" s="19">
        <f t="shared" si="43"/>
        <v>146.6135733762959</v>
      </c>
      <c r="L370" s="20" t="str">
        <f t="shared" si="38"/>
        <v>Sharp Price Increase</v>
      </c>
      <c r="M370" s="20" t="str">
        <f t="shared" si="39"/>
        <v>Normal</v>
      </c>
      <c r="N370" s="20" t="str">
        <f t="shared" si="40"/>
        <v>No</v>
      </c>
    </row>
    <row r="371" spans="1:14" x14ac:dyDescent="0.25">
      <c r="A371" s="15">
        <v>43999</v>
      </c>
      <c r="B371" s="16">
        <v>2020</v>
      </c>
      <c r="C371" s="17">
        <v>620</v>
      </c>
      <c r="D371" s="17">
        <v>645</v>
      </c>
      <c r="E371" s="17">
        <v>605</v>
      </c>
      <c r="F371" s="17">
        <v>635</v>
      </c>
      <c r="G371" s="17">
        <v>521.47</v>
      </c>
      <c r="H371" s="18">
        <v>195616600</v>
      </c>
      <c r="I371" s="22" t="str">
        <f t="shared" si="41"/>
        <v>+</v>
      </c>
      <c r="J371" s="19">
        <f t="shared" si="42"/>
        <v>4.0983606557377046</v>
      </c>
      <c r="K371" s="19">
        <f t="shared" si="43"/>
        <v>76.999924899043506</v>
      </c>
      <c r="L371" s="20" t="str">
        <f t="shared" si="38"/>
        <v>Normal</v>
      </c>
      <c r="M371" s="20" t="str">
        <f t="shared" si="39"/>
        <v>Normal</v>
      </c>
      <c r="N371" s="20" t="str">
        <f t="shared" si="40"/>
        <v>No</v>
      </c>
    </row>
    <row r="372" spans="1:14" x14ac:dyDescent="0.25">
      <c r="A372" s="15">
        <v>44000</v>
      </c>
      <c r="B372" s="16">
        <v>2020</v>
      </c>
      <c r="C372" s="17">
        <v>625</v>
      </c>
      <c r="D372" s="17">
        <v>640</v>
      </c>
      <c r="E372" s="17">
        <v>620</v>
      </c>
      <c r="F372" s="17">
        <v>620</v>
      </c>
      <c r="G372" s="17">
        <v>509.15</v>
      </c>
      <c r="H372" s="18">
        <v>88492800</v>
      </c>
      <c r="I372" s="22" t="str">
        <f t="shared" si="41"/>
        <v>-</v>
      </c>
      <c r="J372" s="19">
        <f t="shared" si="42"/>
        <v>-2.3622047244094486</v>
      </c>
      <c r="K372" s="19">
        <f t="shared" si="43"/>
        <v>-54.762121415053734</v>
      </c>
      <c r="L372" s="20" t="str">
        <f t="shared" si="38"/>
        <v>Normal</v>
      </c>
      <c r="M372" s="20" t="str">
        <f t="shared" si="39"/>
        <v>Normal</v>
      </c>
      <c r="N372" s="20" t="str">
        <f t="shared" si="40"/>
        <v>No</v>
      </c>
    </row>
    <row r="373" spans="1:14" x14ac:dyDescent="0.25">
      <c r="A373" s="15">
        <v>44001</v>
      </c>
      <c r="B373" s="16">
        <v>2020</v>
      </c>
      <c r="C373" s="17">
        <v>625</v>
      </c>
      <c r="D373" s="17">
        <v>630</v>
      </c>
      <c r="E373" s="17">
        <v>605</v>
      </c>
      <c r="F373" s="17">
        <v>610</v>
      </c>
      <c r="G373" s="17">
        <v>500.94</v>
      </c>
      <c r="H373" s="18">
        <v>59835400</v>
      </c>
      <c r="I373" s="22" t="str">
        <f t="shared" si="41"/>
        <v>-</v>
      </c>
      <c r="J373" s="19">
        <f t="shared" si="42"/>
        <v>-1.6129032258064515</v>
      </c>
      <c r="K373" s="19">
        <f t="shared" si="43"/>
        <v>-32.383877558400229</v>
      </c>
      <c r="L373" s="20" t="str">
        <f t="shared" si="38"/>
        <v>Normal</v>
      </c>
      <c r="M373" s="20" t="str">
        <f t="shared" si="39"/>
        <v>Normal</v>
      </c>
      <c r="N373" s="20" t="str">
        <f t="shared" si="40"/>
        <v>No</v>
      </c>
    </row>
    <row r="374" spans="1:14" x14ac:dyDescent="0.25">
      <c r="A374" s="15">
        <v>44004</v>
      </c>
      <c r="B374" s="16">
        <v>2020</v>
      </c>
      <c r="C374" s="17">
        <v>610</v>
      </c>
      <c r="D374" s="17">
        <v>625</v>
      </c>
      <c r="E374" s="17">
        <v>600</v>
      </c>
      <c r="F374" s="17">
        <v>605</v>
      </c>
      <c r="G374" s="17">
        <v>499.14</v>
      </c>
      <c r="H374" s="18">
        <v>49752700</v>
      </c>
      <c r="I374" s="22" t="str">
        <f t="shared" si="41"/>
        <v>-</v>
      </c>
      <c r="J374" s="19">
        <f t="shared" si="42"/>
        <v>-0.81967213114754101</v>
      </c>
      <c r="K374" s="19">
        <f t="shared" si="43"/>
        <v>-16.850727161513085</v>
      </c>
      <c r="L374" s="20" t="str">
        <f t="shared" si="38"/>
        <v>Normal</v>
      </c>
      <c r="M374" s="20" t="str">
        <f t="shared" si="39"/>
        <v>Normal</v>
      </c>
      <c r="N374" s="20" t="str">
        <f t="shared" si="40"/>
        <v>No</v>
      </c>
    </row>
    <row r="375" spans="1:14" x14ac:dyDescent="0.25">
      <c r="A375" s="15">
        <v>44005</v>
      </c>
      <c r="B375" s="16">
        <v>2020</v>
      </c>
      <c r="C375" s="17">
        <v>600</v>
      </c>
      <c r="D375" s="17">
        <v>615</v>
      </c>
      <c r="E375" s="17">
        <v>590</v>
      </c>
      <c r="F375" s="17">
        <v>595</v>
      </c>
      <c r="G375" s="17">
        <v>490.89</v>
      </c>
      <c r="H375" s="18">
        <v>31468100</v>
      </c>
      <c r="I375" s="22" t="str">
        <f t="shared" si="41"/>
        <v>-</v>
      </c>
      <c r="J375" s="19">
        <f t="shared" si="42"/>
        <v>-1.6528925619834711</v>
      </c>
      <c r="K375" s="19">
        <f t="shared" si="43"/>
        <v>-36.750970299099343</v>
      </c>
      <c r="L375" s="20" t="str">
        <f t="shared" si="38"/>
        <v>Normal</v>
      </c>
      <c r="M375" s="20" t="str">
        <f t="shared" si="39"/>
        <v>Normal</v>
      </c>
      <c r="N375" s="20" t="str">
        <f t="shared" si="40"/>
        <v>No</v>
      </c>
    </row>
    <row r="376" spans="1:14" x14ac:dyDescent="0.25">
      <c r="A376" s="15">
        <v>44006</v>
      </c>
      <c r="B376" s="16">
        <v>2020</v>
      </c>
      <c r="C376" s="17">
        <v>605</v>
      </c>
      <c r="D376" s="17">
        <v>620</v>
      </c>
      <c r="E376" s="17">
        <v>600</v>
      </c>
      <c r="F376" s="17">
        <v>605</v>
      </c>
      <c r="G376" s="17">
        <v>499.14</v>
      </c>
      <c r="H376" s="18">
        <v>58104500</v>
      </c>
      <c r="I376" s="22" t="str">
        <f t="shared" si="41"/>
        <v>+</v>
      </c>
      <c r="J376" s="19">
        <f t="shared" si="42"/>
        <v>1.680672268907563</v>
      </c>
      <c r="K376" s="19">
        <f t="shared" si="43"/>
        <v>84.645720586880046</v>
      </c>
      <c r="L376" s="20" t="str">
        <f t="shared" si="38"/>
        <v>Normal</v>
      </c>
      <c r="M376" s="20" t="str">
        <f t="shared" si="39"/>
        <v>Normal</v>
      </c>
      <c r="N376" s="20" t="str">
        <f t="shared" si="40"/>
        <v>No</v>
      </c>
    </row>
    <row r="377" spans="1:14" x14ac:dyDescent="0.25">
      <c r="A377" s="15">
        <v>44007</v>
      </c>
      <c r="B377" s="16">
        <v>2020</v>
      </c>
      <c r="C377" s="17">
        <v>595</v>
      </c>
      <c r="D377" s="17">
        <v>605</v>
      </c>
      <c r="E377" s="17">
        <v>595</v>
      </c>
      <c r="F377" s="17">
        <v>600</v>
      </c>
      <c r="G377" s="17">
        <v>495.01</v>
      </c>
      <c r="H377" s="18">
        <v>18727500</v>
      </c>
      <c r="I377" s="22" t="str">
        <f t="shared" si="41"/>
        <v>-</v>
      </c>
      <c r="J377" s="19">
        <f t="shared" si="42"/>
        <v>-0.82644628099173556</v>
      </c>
      <c r="K377" s="19">
        <f t="shared" si="43"/>
        <v>-67.769277766782267</v>
      </c>
      <c r="L377" s="20" t="str">
        <f t="shared" si="38"/>
        <v>Normal</v>
      </c>
      <c r="M377" s="20" t="str">
        <f t="shared" si="39"/>
        <v>Sharp Volume Decrease</v>
      </c>
      <c r="N377" s="20" t="str">
        <f t="shared" si="40"/>
        <v>No</v>
      </c>
    </row>
    <row r="378" spans="1:14" x14ac:dyDescent="0.25">
      <c r="A378" s="15">
        <v>44008</v>
      </c>
      <c r="B378" s="16">
        <v>2020</v>
      </c>
      <c r="C378" s="17">
        <v>610</v>
      </c>
      <c r="D378" s="17">
        <v>615</v>
      </c>
      <c r="E378" s="17">
        <v>605</v>
      </c>
      <c r="F378" s="17">
        <v>605</v>
      </c>
      <c r="G378" s="17">
        <v>499.14</v>
      </c>
      <c r="H378" s="18">
        <v>29811500</v>
      </c>
      <c r="I378" s="22" t="str">
        <f t="shared" si="41"/>
        <v>+</v>
      </c>
      <c r="J378" s="19">
        <f t="shared" si="42"/>
        <v>0.83333333333333337</v>
      </c>
      <c r="K378" s="19">
        <f t="shared" si="43"/>
        <v>59.185689494059531</v>
      </c>
      <c r="L378" s="20" t="str">
        <f t="shared" si="38"/>
        <v>Normal</v>
      </c>
      <c r="M378" s="20" t="str">
        <f t="shared" si="39"/>
        <v>Normal</v>
      </c>
      <c r="N378" s="20" t="str">
        <f t="shared" si="40"/>
        <v>No</v>
      </c>
    </row>
    <row r="379" spans="1:14" x14ac:dyDescent="0.25">
      <c r="A379" s="15">
        <v>44011</v>
      </c>
      <c r="B379" s="16">
        <v>2020</v>
      </c>
      <c r="C379" s="17">
        <v>610</v>
      </c>
      <c r="D379" s="17">
        <v>610</v>
      </c>
      <c r="E379" s="17">
        <v>595</v>
      </c>
      <c r="F379" s="17">
        <v>595</v>
      </c>
      <c r="G379" s="17">
        <v>490.89</v>
      </c>
      <c r="H379" s="18">
        <v>25880900</v>
      </c>
      <c r="I379" s="22" t="str">
        <f t="shared" si="41"/>
        <v>-</v>
      </c>
      <c r="J379" s="19">
        <f t="shared" si="42"/>
        <v>-1.6528925619834711</v>
      </c>
      <c r="K379" s="19">
        <f t="shared" si="43"/>
        <v>-13.184844774667495</v>
      </c>
      <c r="L379" s="20" t="str">
        <f t="shared" si="38"/>
        <v>Normal</v>
      </c>
      <c r="M379" s="20" t="str">
        <f t="shared" si="39"/>
        <v>Normal</v>
      </c>
      <c r="N379" s="20" t="str">
        <f t="shared" si="40"/>
        <v>No</v>
      </c>
    </row>
    <row r="380" spans="1:14" x14ac:dyDescent="0.25">
      <c r="A380" s="15">
        <v>44012</v>
      </c>
      <c r="B380" s="16">
        <v>2020</v>
      </c>
      <c r="C380" s="17">
        <v>605</v>
      </c>
      <c r="D380" s="17">
        <v>610</v>
      </c>
      <c r="E380" s="17">
        <v>595</v>
      </c>
      <c r="F380" s="17">
        <v>605</v>
      </c>
      <c r="G380" s="17">
        <v>499.14</v>
      </c>
      <c r="H380" s="18">
        <v>30619800</v>
      </c>
      <c r="I380" s="22" t="str">
        <f t="shared" si="41"/>
        <v>+</v>
      </c>
      <c r="J380" s="19">
        <f t="shared" si="42"/>
        <v>1.680672268907563</v>
      </c>
      <c r="K380" s="19">
        <f t="shared" si="43"/>
        <v>18.310414243708681</v>
      </c>
      <c r="L380" s="20" t="str">
        <f t="shared" si="38"/>
        <v>Normal</v>
      </c>
      <c r="M380" s="20" t="str">
        <f t="shared" si="39"/>
        <v>Normal</v>
      </c>
      <c r="N380" s="20" t="str">
        <f t="shared" si="40"/>
        <v>No</v>
      </c>
    </row>
    <row r="381" spans="1:14" x14ac:dyDescent="0.25">
      <c r="A381" s="15">
        <v>44013</v>
      </c>
      <c r="B381" s="16">
        <v>2020</v>
      </c>
      <c r="C381" s="17">
        <v>610</v>
      </c>
      <c r="D381" s="17">
        <v>615</v>
      </c>
      <c r="E381" s="17">
        <v>595</v>
      </c>
      <c r="F381" s="17">
        <v>600</v>
      </c>
      <c r="G381" s="17">
        <v>495.01</v>
      </c>
      <c r="H381" s="18">
        <v>21393300</v>
      </c>
      <c r="I381" s="22" t="str">
        <f t="shared" si="41"/>
        <v>-</v>
      </c>
      <c r="J381" s="19">
        <f t="shared" si="42"/>
        <v>-0.82644628099173556</v>
      </c>
      <c r="K381" s="19">
        <f t="shared" si="43"/>
        <v>-30.132463308055573</v>
      </c>
      <c r="L381" s="20" t="str">
        <f t="shared" si="38"/>
        <v>Normal</v>
      </c>
      <c r="M381" s="20" t="str">
        <f t="shared" si="39"/>
        <v>Normal</v>
      </c>
      <c r="N381" s="20" t="str">
        <f t="shared" si="40"/>
        <v>No</v>
      </c>
    </row>
    <row r="382" spans="1:14" x14ac:dyDescent="0.25">
      <c r="A382" s="15">
        <v>44014</v>
      </c>
      <c r="B382" s="16">
        <v>2020</v>
      </c>
      <c r="C382" s="17">
        <v>600</v>
      </c>
      <c r="D382" s="17">
        <v>610</v>
      </c>
      <c r="E382" s="17">
        <v>590</v>
      </c>
      <c r="F382" s="17">
        <v>610</v>
      </c>
      <c r="G382" s="17">
        <v>503.26</v>
      </c>
      <c r="H382" s="18">
        <v>41575700</v>
      </c>
      <c r="I382" s="22" t="str">
        <f t="shared" si="41"/>
        <v>+</v>
      </c>
      <c r="J382" s="19">
        <f t="shared" si="42"/>
        <v>1.6666666666666667</v>
      </c>
      <c r="K382" s="19">
        <f t="shared" si="43"/>
        <v>94.339816671574752</v>
      </c>
      <c r="L382" s="20" t="str">
        <f t="shared" si="38"/>
        <v>Normal</v>
      </c>
      <c r="M382" s="20" t="str">
        <f t="shared" si="39"/>
        <v>Normal</v>
      </c>
      <c r="N382" s="20" t="str">
        <f t="shared" si="40"/>
        <v>No</v>
      </c>
    </row>
    <row r="383" spans="1:14" x14ac:dyDescent="0.25">
      <c r="A383" s="15">
        <v>44015</v>
      </c>
      <c r="B383" s="16">
        <v>2020</v>
      </c>
      <c r="C383" s="17">
        <v>615</v>
      </c>
      <c r="D383" s="17">
        <v>615</v>
      </c>
      <c r="E383" s="17">
        <v>600</v>
      </c>
      <c r="F383" s="17">
        <v>600</v>
      </c>
      <c r="G383" s="17">
        <v>495.01</v>
      </c>
      <c r="H383" s="18">
        <v>30660200</v>
      </c>
      <c r="I383" s="22" t="str">
        <f t="shared" si="41"/>
        <v>-</v>
      </c>
      <c r="J383" s="19">
        <f t="shared" si="42"/>
        <v>-1.639344262295082</v>
      </c>
      <c r="K383" s="19">
        <f t="shared" si="43"/>
        <v>-26.25451886558735</v>
      </c>
      <c r="L383" s="20" t="str">
        <f t="shared" si="38"/>
        <v>Normal</v>
      </c>
      <c r="M383" s="20" t="str">
        <f t="shared" si="39"/>
        <v>Normal</v>
      </c>
      <c r="N383" s="20" t="str">
        <f t="shared" si="40"/>
        <v>No</v>
      </c>
    </row>
    <row r="384" spans="1:14" x14ac:dyDescent="0.25">
      <c r="A384" s="15">
        <v>44018</v>
      </c>
      <c r="B384" s="16">
        <v>2020</v>
      </c>
      <c r="C384" s="17">
        <v>605</v>
      </c>
      <c r="D384" s="17">
        <v>640</v>
      </c>
      <c r="E384" s="17">
        <v>600</v>
      </c>
      <c r="F384" s="17">
        <v>640</v>
      </c>
      <c r="G384" s="17">
        <v>528.01</v>
      </c>
      <c r="H384" s="18">
        <v>133412200</v>
      </c>
      <c r="I384" s="22" t="str">
        <f t="shared" si="41"/>
        <v>+</v>
      </c>
      <c r="J384" s="19">
        <f t="shared" si="42"/>
        <v>6.666666666666667</v>
      </c>
      <c r="K384" s="19">
        <f t="shared" si="43"/>
        <v>335.1315386070541</v>
      </c>
      <c r="L384" s="20" t="str">
        <f t="shared" si="38"/>
        <v>Sharp Price Increase</v>
      </c>
      <c r="M384" s="20" t="str">
        <f t="shared" si="39"/>
        <v>Sharp Volume Increase</v>
      </c>
      <c r="N384" s="21" t="str">
        <f t="shared" si="40"/>
        <v>Yes</v>
      </c>
    </row>
    <row r="385" spans="1:14" x14ac:dyDescent="0.25">
      <c r="A385" s="15">
        <v>44019</v>
      </c>
      <c r="B385" s="16">
        <v>2020</v>
      </c>
      <c r="C385" s="17">
        <v>645</v>
      </c>
      <c r="D385" s="17">
        <v>670</v>
      </c>
      <c r="E385" s="17">
        <v>640</v>
      </c>
      <c r="F385" s="17">
        <v>650</v>
      </c>
      <c r="G385" s="17">
        <v>536.26</v>
      </c>
      <c r="H385" s="18">
        <v>234409300</v>
      </c>
      <c r="I385" s="22" t="str">
        <f t="shared" si="41"/>
        <v>+</v>
      </c>
      <c r="J385" s="19">
        <f t="shared" si="42"/>
        <v>1.5625</v>
      </c>
      <c r="K385" s="19">
        <f t="shared" si="43"/>
        <v>75.703046647907769</v>
      </c>
      <c r="L385" s="20" t="str">
        <f t="shared" si="38"/>
        <v>Normal</v>
      </c>
      <c r="M385" s="20" t="str">
        <f t="shared" si="39"/>
        <v>Normal</v>
      </c>
      <c r="N385" s="20" t="str">
        <f t="shared" si="40"/>
        <v>No</v>
      </c>
    </row>
    <row r="386" spans="1:14" x14ac:dyDescent="0.25">
      <c r="A386" s="15">
        <v>44020</v>
      </c>
      <c r="B386" s="16">
        <v>2020</v>
      </c>
      <c r="C386" s="17">
        <v>650</v>
      </c>
      <c r="D386" s="17">
        <v>675</v>
      </c>
      <c r="E386" s="17">
        <v>645</v>
      </c>
      <c r="F386" s="17">
        <v>660</v>
      </c>
      <c r="G386" s="17">
        <v>544.51</v>
      </c>
      <c r="H386" s="18">
        <v>116131400</v>
      </c>
      <c r="I386" s="22" t="str">
        <f t="shared" si="41"/>
        <v>+</v>
      </c>
      <c r="J386" s="19">
        <f t="shared" si="42"/>
        <v>1.5384615384615385</v>
      </c>
      <c r="K386" s="19">
        <f t="shared" si="43"/>
        <v>-50.457852994740392</v>
      </c>
      <c r="L386" s="20" t="str">
        <f t="shared" si="38"/>
        <v>Normal</v>
      </c>
      <c r="M386" s="20" t="str">
        <f t="shared" si="39"/>
        <v>Normal</v>
      </c>
      <c r="N386" s="20" t="str">
        <f t="shared" si="40"/>
        <v>No</v>
      </c>
    </row>
    <row r="387" spans="1:14" x14ac:dyDescent="0.25">
      <c r="A387" s="15">
        <v>44021</v>
      </c>
      <c r="B387" s="16">
        <v>2020</v>
      </c>
      <c r="C387" s="17">
        <v>660</v>
      </c>
      <c r="D387" s="17">
        <v>670</v>
      </c>
      <c r="E387" s="17">
        <v>650</v>
      </c>
      <c r="F387" s="17">
        <v>650</v>
      </c>
      <c r="G387" s="17">
        <v>536.26</v>
      </c>
      <c r="H387" s="18">
        <v>66422900</v>
      </c>
      <c r="I387" s="22" t="str">
        <f t="shared" si="41"/>
        <v>-</v>
      </c>
      <c r="J387" s="19">
        <f t="shared" si="42"/>
        <v>-1.5151515151515151</v>
      </c>
      <c r="K387" s="19">
        <f t="shared" si="43"/>
        <v>-42.803668947416462</v>
      </c>
      <c r="L387" s="20" t="str">
        <f t="shared" ref="L387:L450" si="44">IFERROR(IF(OR(J387="",ISBLANK(J387)),"Normal",IF(J387&lt;=$U$6,"Sharp Price Decrease",IF(J387&gt;=$U$7,"Sharp Price Increase","Normal"))),"Normal")</f>
        <v>Normal</v>
      </c>
      <c r="M387" s="20" t="str">
        <f t="shared" ref="M387:M450" si="45">IFERROR(IF(OR(K387="",ISBLANK(K387)),"Normal",IF(K387&lt;=$U$8,"Sharp Volume Decrease",IF(K387&gt;=$U$9,"Sharp Volume Increase","Normal"))),"Normal")</f>
        <v>Normal</v>
      </c>
      <c r="N387" s="20" t="str">
        <f t="shared" ref="N387:N450" si="46">IFERROR(IF(AND(OR(L387="Sharp Price Increase",L387="Sharp Price Decrease"),OR(M387="Sharp Volume Increase",M387="Sharp Volume Decrease")),"Yes","No"),"No")</f>
        <v>No</v>
      </c>
    </row>
    <row r="388" spans="1:14" x14ac:dyDescent="0.25">
      <c r="A388" s="15">
        <v>44022</v>
      </c>
      <c r="B388" s="16">
        <v>2020</v>
      </c>
      <c r="C388" s="17">
        <v>650</v>
      </c>
      <c r="D388" s="17">
        <v>665</v>
      </c>
      <c r="E388" s="17">
        <v>640</v>
      </c>
      <c r="F388" s="17">
        <v>645</v>
      </c>
      <c r="G388" s="17">
        <v>532.14</v>
      </c>
      <c r="H388" s="18">
        <v>44571600</v>
      </c>
      <c r="I388" s="22" t="str">
        <f t="shared" ref="I388:I451" si="47">IFERROR(IF(OR(F387="",F388=""),"",IF(F388-F387&lt;0,"-",IF(F388-F387&gt;0,"+","0"))),"")</f>
        <v>-</v>
      </c>
      <c r="J388" s="19">
        <f t="shared" ref="J388:J451" si="48">(F388-F387)/F387*100</f>
        <v>-0.76923076923076927</v>
      </c>
      <c r="K388" s="19">
        <f t="shared" ref="K388:K451" si="49">(H388-H387)/H387*100</f>
        <v>-32.89723875350218</v>
      </c>
      <c r="L388" s="20" t="str">
        <f t="shared" si="44"/>
        <v>Normal</v>
      </c>
      <c r="M388" s="20" t="str">
        <f t="shared" si="45"/>
        <v>Normal</v>
      </c>
      <c r="N388" s="20" t="str">
        <f t="shared" si="46"/>
        <v>No</v>
      </c>
    </row>
    <row r="389" spans="1:14" x14ac:dyDescent="0.25">
      <c r="A389" s="15">
        <v>44025</v>
      </c>
      <c r="B389" s="16">
        <v>2020</v>
      </c>
      <c r="C389" s="17">
        <v>645</v>
      </c>
      <c r="D389" s="17">
        <v>685</v>
      </c>
      <c r="E389" s="17">
        <v>645</v>
      </c>
      <c r="F389" s="17">
        <v>675</v>
      </c>
      <c r="G389" s="17">
        <v>556.89</v>
      </c>
      <c r="H389" s="18">
        <v>148923800</v>
      </c>
      <c r="I389" s="22" t="str">
        <f t="shared" si="47"/>
        <v>+</v>
      </c>
      <c r="J389" s="19">
        <f t="shared" si="48"/>
        <v>4.6511627906976747</v>
      </c>
      <c r="K389" s="19">
        <f t="shared" si="49"/>
        <v>234.12262516939037</v>
      </c>
      <c r="L389" s="20" t="str">
        <f t="shared" si="44"/>
        <v>Normal</v>
      </c>
      <c r="M389" s="20" t="str">
        <f t="shared" si="45"/>
        <v>Sharp Volume Increase</v>
      </c>
      <c r="N389" s="20" t="str">
        <f t="shared" si="46"/>
        <v>No</v>
      </c>
    </row>
    <row r="390" spans="1:14" x14ac:dyDescent="0.25">
      <c r="A390" s="15">
        <v>44026</v>
      </c>
      <c r="B390" s="16">
        <v>2020</v>
      </c>
      <c r="C390" s="17">
        <v>670</v>
      </c>
      <c r="D390" s="17">
        <v>680</v>
      </c>
      <c r="E390" s="17">
        <v>660</v>
      </c>
      <c r="F390" s="17">
        <v>660</v>
      </c>
      <c r="G390" s="17">
        <v>544.51</v>
      </c>
      <c r="H390" s="18">
        <v>77241200</v>
      </c>
      <c r="I390" s="22" t="str">
        <f t="shared" si="47"/>
        <v>-</v>
      </c>
      <c r="J390" s="19">
        <f t="shared" si="48"/>
        <v>-2.2222222222222223</v>
      </c>
      <c r="K390" s="19">
        <f t="shared" si="49"/>
        <v>-48.133743565501284</v>
      </c>
      <c r="L390" s="20" t="str">
        <f t="shared" si="44"/>
        <v>Normal</v>
      </c>
      <c r="M390" s="20" t="str">
        <f t="shared" si="45"/>
        <v>Normal</v>
      </c>
      <c r="N390" s="20" t="str">
        <f t="shared" si="46"/>
        <v>No</v>
      </c>
    </row>
    <row r="391" spans="1:14" x14ac:dyDescent="0.25">
      <c r="A391" s="15">
        <v>44027</v>
      </c>
      <c r="B391" s="16">
        <v>2020</v>
      </c>
      <c r="C391" s="17">
        <v>665</v>
      </c>
      <c r="D391" s="17">
        <v>675</v>
      </c>
      <c r="E391" s="17">
        <v>655</v>
      </c>
      <c r="F391" s="17">
        <v>655</v>
      </c>
      <c r="G391" s="17">
        <v>540.39</v>
      </c>
      <c r="H391" s="18">
        <v>38423500</v>
      </c>
      <c r="I391" s="22" t="str">
        <f t="shared" si="47"/>
        <v>-</v>
      </c>
      <c r="J391" s="19">
        <f t="shared" si="48"/>
        <v>-0.75757575757575757</v>
      </c>
      <c r="K391" s="19">
        <f t="shared" si="49"/>
        <v>-50.255174699512693</v>
      </c>
      <c r="L391" s="20" t="str">
        <f t="shared" si="44"/>
        <v>Normal</v>
      </c>
      <c r="M391" s="20" t="str">
        <f t="shared" si="45"/>
        <v>Normal</v>
      </c>
      <c r="N391" s="20" t="str">
        <f t="shared" si="46"/>
        <v>No</v>
      </c>
    </row>
    <row r="392" spans="1:14" x14ac:dyDescent="0.25">
      <c r="A392" s="15">
        <v>44028</v>
      </c>
      <c r="B392" s="16">
        <v>2020</v>
      </c>
      <c r="C392" s="17">
        <v>655</v>
      </c>
      <c r="D392" s="17">
        <v>665</v>
      </c>
      <c r="E392" s="17">
        <v>650</v>
      </c>
      <c r="F392" s="17">
        <v>650</v>
      </c>
      <c r="G392" s="17">
        <v>536.26</v>
      </c>
      <c r="H392" s="18">
        <v>19244200</v>
      </c>
      <c r="I392" s="22" t="str">
        <f t="shared" si="47"/>
        <v>-</v>
      </c>
      <c r="J392" s="19">
        <f t="shared" si="48"/>
        <v>-0.76335877862595414</v>
      </c>
      <c r="K392" s="19">
        <f t="shared" si="49"/>
        <v>-49.915546475464232</v>
      </c>
      <c r="L392" s="20" t="str">
        <f t="shared" si="44"/>
        <v>Normal</v>
      </c>
      <c r="M392" s="20" t="str">
        <f t="shared" si="45"/>
        <v>Normal</v>
      </c>
      <c r="N392" s="20" t="str">
        <f t="shared" si="46"/>
        <v>No</v>
      </c>
    </row>
    <row r="393" spans="1:14" x14ac:dyDescent="0.25">
      <c r="A393" s="15">
        <v>44029</v>
      </c>
      <c r="B393" s="16">
        <v>2020</v>
      </c>
      <c r="C393" s="17">
        <v>655</v>
      </c>
      <c r="D393" s="17">
        <v>660</v>
      </c>
      <c r="E393" s="17">
        <v>645</v>
      </c>
      <c r="F393" s="17">
        <v>660</v>
      </c>
      <c r="G393" s="17">
        <v>544.51</v>
      </c>
      <c r="H393" s="18">
        <v>21499000</v>
      </c>
      <c r="I393" s="22" t="str">
        <f t="shared" si="47"/>
        <v>+</v>
      </c>
      <c r="J393" s="19">
        <f t="shared" si="48"/>
        <v>1.5384615384615385</v>
      </c>
      <c r="K393" s="19">
        <f t="shared" si="49"/>
        <v>11.716777002941146</v>
      </c>
      <c r="L393" s="20" t="str">
        <f t="shared" si="44"/>
        <v>Normal</v>
      </c>
      <c r="M393" s="20" t="str">
        <f t="shared" si="45"/>
        <v>Normal</v>
      </c>
      <c r="N393" s="20" t="str">
        <f t="shared" si="46"/>
        <v>No</v>
      </c>
    </row>
    <row r="394" spans="1:14" x14ac:dyDescent="0.25">
      <c r="A394" s="15">
        <v>44032</v>
      </c>
      <c r="B394" s="16">
        <v>2020</v>
      </c>
      <c r="C394" s="17">
        <v>660</v>
      </c>
      <c r="D394" s="17">
        <v>665</v>
      </c>
      <c r="E394" s="17">
        <v>650</v>
      </c>
      <c r="F394" s="17">
        <v>650</v>
      </c>
      <c r="G394" s="17">
        <v>536.26</v>
      </c>
      <c r="H394" s="18">
        <v>31533100</v>
      </c>
      <c r="I394" s="22" t="str">
        <f t="shared" si="47"/>
        <v>-</v>
      </c>
      <c r="J394" s="19">
        <f t="shared" si="48"/>
        <v>-1.5151515151515151</v>
      </c>
      <c r="K394" s="19">
        <f t="shared" si="49"/>
        <v>46.672403367598491</v>
      </c>
      <c r="L394" s="20" t="str">
        <f t="shared" si="44"/>
        <v>Normal</v>
      </c>
      <c r="M394" s="20" t="str">
        <f t="shared" si="45"/>
        <v>Normal</v>
      </c>
      <c r="N394" s="20" t="str">
        <f t="shared" si="46"/>
        <v>No</v>
      </c>
    </row>
    <row r="395" spans="1:14" x14ac:dyDescent="0.25">
      <c r="A395" s="15">
        <v>44033</v>
      </c>
      <c r="B395" s="16">
        <v>2020</v>
      </c>
      <c r="C395" s="17">
        <v>655</v>
      </c>
      <c r="D395" s="17">
        <v>690</v>
      </c>
      <c r="E395" s="17">
        <v>650</v>
      </c>
      <c r="F395" s="17">
        <v>685</v>
      </c>
      <c r="G395" s="17">
        <v>565.14</v>
      </c>
      <c r="H395" s="18">
        <v>158932500</v>
      </c>
      <c r="I395" s="22" t="str">
        <f t="shared" si="47"/>
        <v>+</v>
      </c>
      <c r="J395" s="19">
        <f t="shared" si="48"/>
        <v>5.384615384615385</v>
      </c>
      <c r="K395" s="19">
        <f t="shared" si="49"/>
        <v>404.01800013319342</v>
      </c>
      <c r="L395" s="20" t="str">
        <f t="shared" si="44"/>
        <v>Sharp Price Increase</v>
      </c>
      <c r="M395" s="20" t="str">
        <f t="shared" si="45"/>
        <v>Sharp Volume Increase</v>
      </c>
      <c r="N395" s="21" t="str">
        <f t="shared" si="46"/>
        <v>Yes</v>
      </c>
    </row>
    <row r="396" spans="1:14" x14ac:dyDescent="0.25">
      <c r="A396" s="15">
        <v>44034</v>
      </c>
      <c r="B396" s="16">
        <v>2020</v>
      </c>
      <c r="C396" s="17">
        <v>690</v>
      </c>
      <c r="D396" s="17">
        <v>705</v>
      </c>
      <c r="E396" s="17">
        <v>685</v>
      </c>
      <c r="F396" s="17">
        <v>685</v>
      </c>
      <c r="G396" s="17">
        <v>565.14</v>
      </c>
      <c r="H396" s="18">
        <v>192426100</v>
      </c>
      <c r="I396" s="22" t="str">
        <f t="shared" si="47"/>
        <v>0</v>
      </c>
      <c r="J396" s="19">
        <f t="shared" si="48"/>
        <v>0</v>
      </c>
      <c r="K396" s="19">
        <f t="shared" si="49"/>
        <v>21.074103786198545</v>
      </c>
      <c r="L396" s="20" t="str">
        <f t="shared" si="44"/>
        <v>Normal</v>
      </c>
      <c r="M396" s="20" t="str">
        <f t="shared" si="45"/>
        <v>Normal</v>
      </c>
      <c r="N396" s="20" t="str">
        <f t="shared" si="46"/>
        <v>No</v>
      </c>
    </row>
    <row r="397" spans="1:14" x14ac:dyDescent="0.25">
      <c r="A397" s="15">
        <v>44035</v>
      </c>
      <c r="B397" s="16">
        <v>2020</v>
      </c>
      <c r="C397" s="17">
        <v>695</v>
      </c>
      <c r="D397" s="17">
        <v>705</v>
      </c>
      <c r="E397" s="17">
        <v>685</v>
      </c>
      <c r="F397" s="17">
        <v>690</v>
      </c>
      <c r="G397" s="17">
        <v>569.26</v>
      </c>
      <c r="H397" s="18">
        <v>90668500</v>
      </c>
      <c r="I397" s="22" t="str">
        <f t="shared" si="47"/>
        <v>+</v>
      </c>
      <c r="J397" s="19">
        <f t="shared" si="48"/>
        <v>0.72992700729927007</v>
      </c>
      <c r="K397" s="19">
        <f t="shared" si="49"/>
        <v>-52.881391869398172</v>
      </c>
      <c r="L397" s="20" t="str">
        <f t="shared" si="44"/>
        <v>Normal</v>
      </c>
      <c r="M397" s="20" t="str">
        <f t="shared" si="45"/>
        <v>Normal</v>
      </c>
      <c r="N397" s="20" t="str">
        <f t="shared" si="46"/>
        <v>No</v>
      </c>
    </row>
    <row r="398" spans="1:14" x14ac:dyDescent="0.25">
      <c r="A398" s="15">
        <v>44036</v>
      </c>
      <c r="B398" s="16">
        <v>2020</v>
      </c>
      <c r="C398" s="17">
        <v>705</v>
      </c>
      <c r="D398" s="17">
        <v>705</v>
      </c>
      <c r="E398" s="17">
        <v>685</v>
      </c>
      <c r="F398" s="17">
        <v>685</v>
      </c>
      <c r="G398" s="17">
        <v>565.14</v>
      </c>
      <c r="H398" s="18">
        <v>134255200</v>
      </c>
      <c r="I398" s="22" t="str">
        <f t="shared" si="47"/>
        <v>-</v>
      </c>
      <c r="J398" s="19">
        <f t="shared" si="48"/>
        <v>-0.72463768115942029</v>
      </c>
      <c r="K398" s="19">
        <f t="shared" si="49"/>
        <v>48.072594120339481</v>
      </c>
      <c r="L398" s="20" t="str">
        <f t="shared" si="44"/>
        <v>Normal</v>
      </c>
      <c r="M398" s="20" t="str">
        <f t="shared" si="45"/>
        <v>Normal</v>
      </c>
      <c r="N398" s="20" t="str">
        <f t="shared" si="46"/>
        <v>No</v>
      </c>
    </row>
    <row r="399" spans="1:14" x14ac:dyDescent="0.25">
      <c r="A399" s="15">
        <v>44039</v>
      </c>
      <c r="B399" s="16">
        <v>2020</v>
      </c>
      <c r="C399" s="17">
        <v>695</v>
      </c>
      <c r="D399" s="17">
        <v>725</v>
      </c>
      <c r="E399" s="17">
        <v>690</v>
      </c>
      <c r="F399" s="17">
        <v>725</v>
      </c>
      <c r="G399" s="17">
        <v>598.14</v>
      </c>
      <c r="H399" s="18">
        <v>197203700</v>
      </c>
      <c r="I399" s="22" t="str">
        <f t="shared" si="47"/>
        <v>+</v>
      </c>
      <c r="J399" s="19">
        <f t="shared" si="48"/>
        <v>5.8394160583941606</v>
      </c>
      <c r="K399" s="19">
        <f t="shared" si="49"/>
        <v>46.887196920491718</v>
      </c>
      <c r="L399" s="20" t="str">
        <f t="shared" si="44"/>
        <v>Sharp Price Increase</v>
      </c>
      <c r="M399" s="20" t="str">
        <f t="shared" si="45"/>
        <v>Normal</v>
      </c>
      <c r="N399" s="20" t="str">
        <f t="shared" si="46"/>
        <v>No</v>
      </c>
    </row>
    <row r="400" spans="1:14" x14ac:dyDescent="0.25">
      <c r="A400" s="15">
        <v>44040</v>
      </c>
      <c r="B400" s="16">
        <v>2020</v>
      </c>
      <c r="C400" s="17">
        <v>730</v>
      </c>
      <c r="D400" s="17">
        <v>755</v>
      </c>
      <c r="E400" s="17">
        <v>715</v>
      </c>
      <c r="F400" s="17">
        <v>720</v>
      </c>
      <c r="G400" s="17">
        <v>594.01</v>
      </c>
      <c r="H400" s="18">
        <v>186698000</v>
      </c>
      <c r="I400" s="22" t="str">
        <f t="shared" si="47"/>
        <v>-</v>
      </c>
      <c r="J400" s="19">
        <f t="shared" si="48"/>
        <v>-0.68965517241379315</v>
      </c>
      <c r="K400" s="19">
        <f t="shared" si="49"/>
        <v>-5.3273341220271222</v>
      </c>
      <c r="L400" s="20" t="str">
        <f t="shared" si="44"/>
        <v>Normal</v>
      </c>
      <c r="M400" s="20" t="str">
        <f t="shared" si="45"/>
        <v>Normal</v>
      </c>
      <c r="N400" s="20" t="str">
        <f t="shared" si="46"/>
        <v>No</v>
      </c>
    </row>
    <row r="401" spans="1:14" x14ac:dyDescent="0.25">
      <c r="A401" s="15">
        <v>44041</v>
      </c>
      <c r="B401" s="16">
        <v>2020</v>
      </c>
      <c r="C401" s="17">
        <v>720</v>
      </c>
      <c r="D401" s="17">
        <v>740</v>
      </c>
      <c r="E401" s="17">
        <v>710</v>
      </c>
      <c r="F401" s="17">
        <v>730</v>
      </c>
      <c r="G401" s="17">
        <v>602.26</v>
      </c>
      <c r="H401" s="18">
        <v>79691500</v>
      </c>
      <c r="I401" s="22" t="str">
        <f t="shared" si="47"/>
        <v>+</v>
      </c>
      <c r="J401" s="19">
        <f t="shared" si="48"/>
        <v>1.3888888888888888</v>
      </c>
      <c r="K401" s="19">
        <f t="shared" si="49"/>
        <v>-57.315289933475455</v>
      </c>
      <c r="L401" s="20" t="str">
        <f t="shared" si="44"/>
        <v>Normal</v>
      </c>
      <c r="M401" s="20" t="str">
        <f t="shared" si="45"/>
        <v>Sharp Volume Decrease</v>
      </c>
      <c r="N401" s="20" t="str">
        <f t="shared" si="46"/>
        <v>No</v>
      </c>
    </row>
    <row r="402" spans="1:14" x14ac:dyDescent="0.25">
      <c r="A402" s="15">
        <v>44042</v>
      </c>
      <c r="B402" s="16">
        <v>2020</v>
      </c>
      <c r="C402" s="17">
        <v>730</v>
      </c>
      <c r="D402" s="17">
        <v>740</v>
      </c>
      <c r="E402" s="17">
        <v>720</v>
      </c>
      <c r="F402" s="17">
        <v>730</v>
      </c>
      <c r="G402" s="17">
        <v>602.26</v>
      </c>
      <c r="H402" s="18">
        <v>68996600</v>
      </c>
      <c r="I402" s="22" t="str">
        <f t="shared" si="47"/>
        <v>0</v>
      </c>
      <c r="J402" s="19">
        <f t="shared" si="48"/>
        <v>0</v>
      </c>
      <c r="K402" s="19">
        <f t="shared" si="49"/>
        <v>-13.420377330079116</v>
      </c>
      <c r="L402" s="20" t="str">
        <f t="shared" si="44"/>
        <v>Normal</v>
      </c>
      <c r="M402" s="20" t="str">
        <f t="shared" si="45"/>
        <v>Normal</v>
      </c>
      <c r="N402" s="20" t="str">
        <f t="shared" si="46"/>
        <v>No</v>
      </c>
    </row>
    <row r="403" spans="1:14" x14ac:dyDescent="0.25">
      <c r="A403" s="15">
        <v>44046</v>
      </c>
      <c r="B403" s="16">
        <v>2020</v>
      </c>
      <c r="C403" s="17">
        <v>740</v>
      </c>
      <c r="D403" s="17">
        <v>750</v>
      </c>
      <c r="E403" s="17">
        <v>680</v>
      </c>
      <c r="F403" s="17">
        <v>700</v>
      </c>
      <c r="G403" s="17">
        <v>577.51</v>
      </c>
      <c r="H403" s="18">
        <v>110870200</v>
      </c>
      <c r="I403" s="22" t="str">
        <f t="shared" si="47"/>
        <v>-</v>
      </c>
      <c r="J403" s="19">
        <f t="shared" si="48"/>
        <v>-4.10958904109589</v>
      </c>
      <c r="K403" s="19">
        <f t="shared" si="49"/>
        <v>60.689367302156917</v>
      </c>
      <c r="L403" s="20" t="str">
        <f t="shared" si="44"/>
        <v>Normal</v>
      </c>
      <c r="M403" s="20" t="str">
        <f t="shared" si="45"/>
        <v>Normal</v>
      </c>
      <c r="N403" s="20" t="str">
        <f t="shared" si="46"/>
        <v>No</v>
      </c>
    </row>
    <row r="404" spans="1:14" x14ac:dyDescent="0.25">
      <c r="A404" s="15">
        <v>44047</v>
      </c>
      <c r="B404" s="16">
        <v>2020</v>
      </c>
      <c r="C404" s="17">
        <v>700</v>
      </c>
      <c r="D404" s="17">
        <v>715</v>
      </c>
      <c r="E404" s="17">
        <v>700</v>
      </c>
      <c r="F404" s="17">
        <v>705</v>
      </c>
      <c r="G404" s="17">
        <v>581.64</v>
      </c>
      <c r="H404" s="18">
        <v>43434000</v>
      </c>
      <c r="I404" s="22" t="str">
        <f t="shared" si="47"/>
        <v>+</v>
      </c>
      <c r="J404" s="19">
        <f t="shared" si="48"/>
        <v>0.7142857142857143</v>
      </c>
      <c r="K404" s="19">
        <f t="shared" si="49"/>
        <v>-60.824459593290172</v>
      </c>
      <c r="L404" s="20" t="str">
        <f t="shared" si="44"/>
        <v>Normal</v>
      </c>
      <c r="M404" s="20" t="str">
        <f t="shared" si="45"/>
        <v>Sharp Volume Decrease</v>
      </c>
      <c r="N404" s="20" t="str">
        <f t="shared" si="46"/>
        <v>No</v>
      </c>
    </row>
    <row r="405" spans="1:14" x14ac:dyDescent="0.25">
      <c r="A405" s="15">
        <v>44048</v>
      </c>
      <c r="B405" s="16">
        <v>2020</v>
      </c>
      <c r="C405" s="17">
        <v>730</v>
      </c>
      <c r="D405" s="17">
        <v>750</v>
      </c>
      <c r="E405" s="17">
        <v>715</v>
      </c>
      <c r="F405" s="17">
        <v>750</v>
      </c>
      <c r="G405" s="17">
        <v>618.77</v>
      </c>
      <c r="H405" s="18">
        <v>182812800</v>
      </c>
      <c r="I405" s="22" t="str">
        <f t="shared" si="47"/>
        <v>+</v>
      </c>
      <c r="J405" s="19">
        <f t="shared" si="48"/>
        <v>6.3829787234042552</v>
      </c>
      <c r="K405" s="19">
        <f t="shared" si="49"/>
        <v>320.8979140765299</v>
      </c>
      <c r="L405" s="20" t="str">
        <f t="shared" si="44"/>
        <v>Sharp Price Increase</v>
      </c>
      <c r="M405" s="20" t="str">
        <f t="shared" si="45"/>
        <v>Sharp Volume Increase</v>
      </c>
      <c r="N405" s="21" t="str">
        <f t="shared" si="46"/>
        <v>Yes</v>
      </c>
    </row>
    <row r="406" spans="1:14" x14ac:dyDescent="0.25">
      <c r="A406" s="15">
        <v>44049</v>
      </c>
      <c r="B406" s="16">
        <v>2020</v>
      </c>
      <c r="C406" s="17">
        <v>765</v>
      </c>
      <c r="D406" s="17">
        <v>840</v>
      </c>
      <c r="E406" s="17">
        <v>755</v>
      </c>
      <c r="F406" s="17">
        <v>835</v>
      </c>
      <c r="G406" s="17">
        <v>688.89</v>
      </c>
      <c r="H406" s="18">
        <v>446658400</v>
      </c>
      <c r="I406" s="22" t="str">
        <f t="shared" si="47"/>
        <v>+</v>
      </c>
      <c r="J406" s="19">
        <f t="shared" si="48"/>
        <v>11.333333333333332</v>
      </c>
      <c r="K406" s="19">
        <f t="shared" si="49"/>
        <v>144.32556144865129</v>
      </c>
      <c r="L406" s="20" t="str">
        <f t="shared" si="44"/>
        <v>Sharp Price Increase</v>
      </c>
      <c r="M406" s="20" t="str">
        <f t="shared" si="45"/>
        <v>Normal</v>
      </c>
      <c r="N406" s="20" t="str">
        <f t="shared" si="46"/>
        <v>No</v>
      </c>
    </row>
    <row r="407" spans="1:14" x14ac:dyDescent="0.25">
      <c r="A407" s="15">
        <v>44050</v>
      </c>
      <c r="B407" s="16">
        <v>2020</v>
      </c>
      <c r="C407" s="17">
        <v>840</v>
      </c>
      <c r="D407" s="17">
        <v>865</v>
      </c>
      <c r="E407" s="17">
        <v>835</v>
      </c>
      <c r="F407" s="17">
        <v>840</v>
      </c>
      <c r="G407" s="17">
        <v>693.02</v>
      </c>
      <c r="H407" s="18">
        <v>263824700</v>
      </c>
      <c r="I407" s="22" t="str">
        <f t="shared" si="47"/>
        <v>+</v>
      </c>
      <c r="J407" s="19">
        <f t="shared" si="48"/>
        <v>0.5988023952095809</v>
      </c>
      <c r="K407" s="19">
        <f t="shared" si="49"/>
        <v>-40.933675488919498</v>
      </c>
      <c r="L407" s="20" t="str">
        <f t="shared" si="44"/>
        <v>Normal</v>
      </c>
      <c r="M407" s="20" t="str">
        <f t="shared" si="45"/>
        <v>Normal</v>
      </c>
      <c r="N407" s="20" t="str">
        <f t="shared" si="46"/>
        <v>No</v>
      </c>
    </row>
    <row r="408" spans="1:14" x14ac:dyDescent="0.25">
      <c r="A408" s="15">
        <v>44053</v>
      </c>
      <c r="B408" s="16">
        <v>2020</v>
      </c>
      <c r="C408" s="17">
        <v>840</v>
      </c>
      <c r="D408" s="17">
        <v>840</v>
      </c>
      <c r="E408" s="17">
        <v>800</v>
      </c>
      <c r="F408" s="17">
        <v>825</v>
      </c>
      <c r="G408" s="17">
        <v>680.64</v>
      </c>
      <c r="H408" s="18">
        <v>100818900</v>
      </c>
      <c r="I408" s="22" t="str">
        <f t="shared" si="47"/>
        <v>-</v>
      </c>
      <c r="J408" s="19">
        <f t="shared" si="48"/>
        <v>-1.7857142857142856</v>
      </c>
      <c r="K408" s="19">
        <f t="shared" si="49"/>
        <v>-61.785647818418823</v>
      </c>
      <c r="L408" s="20" t="str">
        <f t="shared" si="44"/>
        <v>Normal</v>
      </c>
      <c r="M408" s="20" t="str">
        <f t="shared" si="45"/>
        <v>Sharp Volume Decrease</v>
      </c>
      <c r="N408" s="20" t="str">
        <f t="shared" si="46"/>
        <v>No</v>
      </c>
    </row>
    <row r="409" spans="1:14" x14ac:dyDescent="0.25">
      <c r="A409" s="15">
        <v>44054</v>
      </c>
      <c r="B409" s="16">
        <v>2020</v>
      </c>
      <c r="C409" s="17">
        <v>825</v>
      </c>
      <c r="D409" s="17">
        <v>830</v>
      </c>
      <c r="E409" s="17">
        <v>790</v>
      </c>
      <c r="F409" s="17">
        <v>800</v>
      </c>
      <c r="G409" s="17">
        <v>660.02</v>
      </c>
      <c r="H409" s="18">
        <v>133787400</v>
      </c>
      <c r="I409" s="22" t="str">
        <f t="shared" si="47"/>
        <v>-</v>
      </c>
      <c r="J409" s="19">
        <f t="shared" si="48"/>
        <v>-3.0303030303030303</v>
      </c>
      <c r="K409" s="19">
        <f t="shared" si="49"/>
        <v>32.700713854247567</v>
      </c>
      <c r="L409" s="20" t="str">
        <f t="shared" si="44"/>
        <v>Normal</v>
      </c>
      <c r="M409" s="20" t="str">
        <f t="shared" si="45"/>
        <v>Normal</v>
      </c>
      <c r="N409" s="20" t="str">
        <f t="shared" si="46"/>
        <v>No</v>
      </c>
    </row>
    <row r="410" spans="1:14" x14ac:dyDescent="0.25">
      <c r="A410" s="15">
        <v>44055</v>
      </c>
      <c r="B410" s="16">
        <v>2020</v>
      </c>
      <c r="C410" s="17">
        <v>795</v>
      </c>
      <c r="D410" s="17">
        <v>795</v>
      </c>
      <c r="E410" s="17">
        <v>750</v>
      </c>
      <c r="F410" s="17">
        <v>770</v>
      </c>
      <c r="G410" s="17">
        <v>635.27</v>
      </c>
      <c r="H410" s="18">
        <v>188570300</v>
      </c>
      <c r="I410" s="22" t="str">
        <f t="shared" si="47"/>
        <v>-</v>
      </c>
      <c r="J410" s="19">
        <f t="shared" si="48"/>
        <v>-3.75</v>
      </c>
      <c r="K410" s="19">
        <f t="shared" si="49"/>
        <v>40.947727513951236</v>
      </c>
      <c r="L410" s="20" t="str">
        <f t="shared" si="44"/>
        <v>Normal</v>
      </c>
      <c r="M410" s="20" t="str">
        <f t="shared" si="45"/>
        <v>Normal</v>
      </c>
      <c r="N410" s="20" t="str">
        <f t="shared" si="46"/>
        <v>No</v>
      </c>
    </row>
    <row r="411" spans="1:14" x14ac:dyDescent="0.25">
      <c r="A411" s="15">
        <v>44056</v>
      </c>
      <c r="B411" s="16">
        <v>2020</v>
      </c>
      <c r="C411" s="17">
        <v>770</v>
      </c>
      <c r="D411" s="17">
        <v>790</v>
      </c>
      <c r="E411" s="17">
        <v>770</v>
      </c>
      <c r="F411" s="17">
        <v>770</v>
      </c>
      <c r="G411" s="17">
        <v>635.27</v>
      </c>
      <c r="H411" s="18">
        <v>99028400</v>
      </c>
      <c r="I411" s="22" t="str">
        <f t="shared" si="47"/>
        <v>0</v>
      </c>
      <c r="J411" s="19">
        <f t="shared" si="48"/>
        <v>0</v>
      </c>
      <c r="K411" s="19">
        <f t="shared" si="49"/>
        <v>-47.484625097377474</v>
      </c>
      <c r="L411" s="20" t="str">
        <f t="shared" si="44"/>
        <v>Normal</v>
      </c>
      <c r="M411" s="20" t="str">
        <f t="shared" si="45"/>
        <v>Normal</v>
      </c>
      <c r="N411" s="20" t="str">
        <f t="shared" si="46"/>
        <v>No</v>
      </c>
    </row>
    <row r="412" spans="1:14" x14ac:dyDescent="0.25">
      <c r="A412" s="15">
        <v>44057</v>
      </c>
      <c r="B412" s="16">
        <v>2020</v>
      </c>
      <c r="C412" s="17">
        <v>780</v>
      </c>
      <c r="D412" s="17">
        <v>805</v>
      </c>
      <c r="E412" s="17">
        <v>775</v>
      </c>
      <c r="F412" s="17">
        <v>785</v>
      </c>
      <c r="G412" s="17">
        <v>647.64</v>
      </c>
      <c r="H412" s="18">
        <v>209371300</v>
      </c>
      <c r="I412" s="22" t="str">
        <f t="shared" si="47"/>
        <v>+</v>
      </c>
      <c r="J412" s="19">
        <f t="shared" si="48"/>
        <v>1.948051948051948</v>
      </c>
      <c r="K412" s="19">
        <f t="shared" si="49"/>
        <v>111.42551025766345</v>
      </c>
      <c r="L412" s="20" t="str">
        <f t="shared" si="44"/>
        <v>Normal</v>
      </c>
      <c r="M412" s="20" t="str">
        <f t="shared" si="45"/>
        <v>Normal</v>
      </c>
      <c r="N412" s="20" t="str">
        <f t="shared" si="46"/>
        <v>No</v>
      </c>
    </row>
    <row r="413" spans="1:14" x14ac:dyDescent="0.25">
      <c r="A413" s="15">
        <v>44061</v>
      </c>
      <c r="B413" s="16">
        <v>2020</v>
      </c>
      <c r="C413" s="17">
        <v>800</v>
      </c>
      <c r="D413" s="17">
        <v>820</v>
      </c>
      <c r="E413" s="17">
        <v>795</v>
      </c>
      <c r="F413" s="17">
        <v>805</v>
      </c>
      <c r="G413" s="17">
        <v>664.14</v>
      </c>
      <c r="H413" s="18">
        <v>178541000</v>
      </c>
      <c r="I413" s="22" t="str">
        <f t="shared" si="47"/>
        <v>+</v>
      </c>
      <c r="J413" s="19">
        <f t="shared" si="48"/>
        <v>2.547770700636943</v>
      </c>
      <c r="K413" s="19">
        <f t="shared" si="49"/>
        <v>-14.725179621084648</v>
      </c>
      <c r="L413" s="20" t="str">
        <f t="shared" si="44"/>
        <v>Normal</v>
      </c>
      <c r="M413" s="20" t="str">
        <f t="shared" si="45"/>
        <v>Normal</v>
      </c>
      <c r="N413" s="20" t="str">
        <f t="shared" si="46"/>
        <v>No</v>
      </c>
    </row>
    <row r="414" spans="1:14" x14ac:dyDescent="0.25">
      <c r="A414" s="15">
        <v>44062</v>
      </c>
      <c r="B414" s="16">
        <v>2020</v>
      </c>
      <c r="C414" s="17">
        <v>810</v>
      </c>
      <c r="D414" s="17">
        <v>815</v>
      </c>
      <c r="E414" s="17">
        <v>795</v>
      </c>
      <c r="F414" s="17">
        <v>795</v>
      </c>
      <c r="G414" s="17">
        <v>655.89</v>
      </c>
      <c r="H414" s="18">
        <v>88404200</v>
      </c>
      <c r="I414" s="22" t="str">
        <f t="shared" si="47"/>
        <v>-</v>
      </c>
      <c r="J414" s="19">
        <f t="shared" si="48"/>
        <v>-1.2422360248447204</v>
      </c>
      <c r="K414" s="19">
        <f t="shared" si="49"/>
        <v>-50.485210679899851</v>
      </c>
      <c r="L414" s="20" t="str">
        <f t="shared" si="44"/>
        <v>Normal</v>
      </c>
      <c r="M414" s="20" t="str">
        <f t="shared" si="45"/>
        <v>Normal</v>
      </c>
      <c r="N414" s="20" t="str">
        <f t="shared" si="46"/>
        <v>No</v>
      </c>
    </row>
    <row r="415" spans="1:14" x14ac:dyDescent="0.25">
      <c r="A415" s="15">
        <v>44067</v>
      </c>
      <c r="B415" s="16">
        <v>2020</v>
      </c>
      <c r="C415" s="17">
        <v>805</v>
      </c>
      <c r="D415" s="17">
        <v>805</v>
      </c>
      <c r="E415" s="17">
        <v>775</v>
      </c>
      <c r="F415" s="17">
        <v>780</v>
      </c>
      <c r="G415" s="17">
        <v>643.52</v>
      </c>
      <c r="H415" s="18">
        <v>116065100</v>
      </c>
      <c r="I415" s="22" t="str">
        <f t="shared" si="47"/>
        <v>-</v>
      </c>
      <c r="J415" s="19">
        <f t="shared" si="48"/>
        <v>-1.8867924528301887</v>
      </c>
      <c r="K415" s="19">
        <f t="shared" si="49"/>
        <v>31.289124272376199</v>
      </c>
      <c r="L415" s="20" t="str">
        <f t="shared" si="44"/>
        <v>Normal</v>
      </c>
      <c r="M415" s="20" t="str">
        <f t="shared" si="45"/>
        <v>Normal</v>
      </c>
      <c r="N415" s="20" t="str">
        <f t="shared" si="46"/>
        <v>No</v>
      </c>
    </row>
    <row r="416" spans="1:14" x14ac:dyDescent="0.25">
      <c r="A416" s="15">
        <v>44068</v>
      </c>
      <c r="B416" s="16">
        <v>2020</v>
      </c>
      <c r="C416" s="17">
        <v>780</v>
      </c>
      <c r="D416" s="17">
        <v>795</v>
      </c>
      <c r="E416" s="17">
        <v>775</v>
      </c>
      <c r="F416" s="17">
        <v>790</v>
      </c>
      <c r="G416" s="17">
        <v>651.77</v>
      </c>
      <c r="H416" s="18">
        <v>69089200</v>
      </c>
      <c r="I416" s="22" t="str">
        <f t="shared" si="47"/>
        <v>+</v>
      </c>
      <c r="J416" s="19">
        <f t="shared" si="48"/>
        <v>1.2820512820512819</v>
      </c>
      <c r="K416" s="19">
        <f t="shared" si="49"/>
        <v>-40.473751368843864</v>
      </c>
      <c r="L416" s="20" t="str">
        <f t="shared" si="44"/>
        <v>Normal</v>
      </c>
      <c r="M416" s="20" t="str">
        <f t="shared" si="45"/>
        <v>Normal</v>
      </c>
      <c r="N416" s="20" t="str">
        <f t="shared" si="46"/>
        <v>No</v>
      </c>
    </row>
    <row r="417" spans="1:14" x14ac:dyDescent="0.25">
      <c r="A417" s="15">
        <v>44069</v>
      </c>
      <c r="B417" s="16">
        <v>2020</v>
      </c>
      <c r="C417" s="17">
        <v>790</v>
      </c>
      <c r="D417" s="17">
        <v>800</v>
      </c>
      <c r="E417" s="17">
        <v>780</v>
      </c>
      <c r="F417" s="17">
        <v>785</v>
      </c>
      <c r="G417" s="17">
        <v>647.64</v>
      </c>
      <c r="H417" s="18">
        <v>72181500</v>
      </c>
      <c r="I417" s="22" t="str">
        <f t="shared" si="47"/>
        <v>-</v>
      </c>
      <c r="J417" s="19">
        <f t="shared" si="48"/>
        <v>-0.63291139240506333</v>
      </c>
      <c r="K417" s="19">
        <f t="shared" si="49"/>
        <v>4.4758080857789633</v>
      </c>
      <c r="L417" s="20" t="str">
        <f t="shared" si="44"/>
        <v>Normal</v>
      </c>
      <c r="M417" s="20" t="str">
        <f t="shared" si="45"/>
        <v>Normal</v>
      </c>
      <c r="N417" s="20" t="str">
        <f t="shared" si="46"/>
        <v>No</v>
      </c>
    </row>
    <row r="418" spans="1:14" x14ac:dyDescent="0.25">
      <c r="A418" s="15">
        <v>44070</v>
      </c>
      <c r="B418" s="16">
        <v>2020</v>
      </c>
      <c r="C418" s="17">
        <v>790</v>
      </c>
      <c r="D418" s="17">
        <v>805</v>
      </c>
      <c r="E418" s="17">
        <v>785</v>
      </c>
      <c r="F418" s="17">
        <v>795</v>
      </c>
      <c r="G418" s="17">
        <v>655.89</v>
      </c>
      <c r="H418" s="18">
        <v>87815900</v>
      </c>
      <c r="I418" s="22" t="str">
        <f t="shared" si="47"/>
        <v>+</v>
      </c>
      <c r="J418" s="19">
        <f t="shared" si="48"/>
        <v>1.2738853503184715</v>
      </c>
      <c r="K418" s="19">
        <f t="shared" si="49"/>
        <v>21.659843588731185</v>
      </c>
      <c r="L418" s="20" t="str">
        <f t="shared" si="44"/>
        <v>Normal</v>
      </c>
      <c r="M418" s="20" t="str">
        <f t="shared" si="45"/>
        <v>Normal</v>
      </c>
      <c r="N418" s="20" t="str">
        <f t="shared" si="46"/>
        <v>No</v>
      </c>
    </row>
    <row r="419" spans="1:14" x14ac:dyDescent="0.25">
      <c r="A419" s="15">
        <v>44071</v>
      </c>
      <c r="B419" s="16">
        <v>2020</v>
      </c>
      <c r="C419" s="17">
        <v>800</v>
      </c>
      <c r="D419" s="17">
        <v>830</v>
      </c>
      <c r="E419" s="17">
        <v>790</v>
      </c>
      <c r="F419" s="17">
        <v>820</v>
      </c>
      <c r="G419" s="17">
        <v>676.52</v>
      </c>
      <c r="H419" s="18">
        <v>278492100</v>
      </c>
      <c r="I419" s="22" t="str">
        <f t="shared" si="47"/>
        <v>+</v>
      </c>
      <c r="J419" s="19">
        <f t="shared" si="48"/>
        <v>3.1446540880503147</v>
      </c>
      <c r="K419" s="19">
        <f t="shared" si="49"/>
        <v>217.13174948955714</v>
      </c>
      <c r="L419" s="20" t="str">
        <f t="shared" si="44"/>
        <v>Normal</v>
      </c>
      <c r="M419" s="20" t="str">
        <f t="shared" si="45"/>
        <v>Sharp Volume Increase</v>
      </c>
      <c r="N419" s="20" t="str">
        <f t="shared" si="46"/>
        <v>No</v>
      </c>
    </row>
    <row r="420" spans="1:14" x14ac:dyDescent="0.25">
      <c r="A420" s="15">
        <v>44074</v>
      </c>
      <c r="B420" s="16">
        <v>2020</v>
      </c>
      <c r="C420" s="17">
        <v>830</v>
      </c>
      <c r="D420" s="17">
        <v>855</v>
      </c>
      <c r="E420" s="17">
        <v>810</v>
      </c>
      <c r="F420" s="17">
        <v>820</v>
      </c>
      <c r="G420" s="17">
        <v>676.52</v>
      </c>
      <c r="H420" s="18">
        <v>229956400</v>
      </c>
      <c r="I420" s="22" t="str">
        <f t="shared" si="47"/>
        <v>0</v>
      </c>
      <c r="J420" s="19">
        <f t="shared" si="48"/>
        <v>0</v>
      </c>
      <c r="K420" s="19">
        <f t="shared" si="49"/>
        <v>-17.428034762925051</v>
      </c>
      <c r="L420" s="20" t="str">
        <f t="shared" si="44"/>
        <v>Normal</v>
      </c>
      <c r="M420" s="20" t="str">
        <f t="shared" si="45"/>
        <v>Normal</v>
      </c>
      <c r="N420" s="20" t="str">
        <f t="shared" si="46"/>
        <v>No</v>
      </c>
    </row>
    <row r="421" spans="1:14" x14ac:dyDescent="0.25">
      <c r="A421" s="15">
        <v>44075</v>
      </c>
      <c r="B421" s="16">
        <v>2020</v>
      </c>
      <c r="C421" s="17">
        <v>820</v>
      </c>
      <c r="D421" s="17">
        <v>840</v>
      </c>
      <c r="E421" s="17">
        <v>815</v>
      </c>
      <c r="F421" s="17">
        <v>840</v>
      </c>
      <c r="G421" s="17">
        <v>693.02</v>
      </c>
      <c r="H421" s="18">
        <v>131125800</v>
      </c>
      <c r="I421" s="22" t="str">
        <f t="shared" si="47"/>
        <v>+</v>
      </c>
      <c r="J421" s="19">
        <f t="shared" si="48"/>
        <v>2.4390243902439024</v>
      </c>
      <c r="K421" s="19">
        <f t="shared" si="49"/>
        <v>-42.977973215792211</v>
      </c>
      <c r="L421" s="20" t="str">
        <f t="shared" si="44"/>
        <v>Normal</v>
      </c>
      <c r="M421" s="20" t="str">
        <f t="shared" si="45"/>
        <v>Normal</v>
      </c>
      <c r="N421" s="20" t="str">
        <f t="shared" si="46"/>
        <v>No</v>
      </c>
    </row>
    <row r="422" spans="1:14" x14ac:dyDescent="0.25">
      <c r="A422" s="15">
        <v>44076</v>
      </c>
      <c r="B422" s="16">
        <v>2020</v>
      </c>
      <c r="C422" s="17">
        <v>840</v>
      </c>
      <c r="D422" s="17">
        <v>855</v>
      </c>
      <c r="E422" s="17">
        <v>830</v>
      </c>
      <c r="F422" s="17">
        <v>850</v>
      </c>
      <c r="G422" s="17">
        <v>701.27</v>
      </c>
      <c r="H422" s="18">
        <v>126138900</v>
      </c>
      <c r="I422" s="22" t="str">
        <f t="shared" si="47"/>
        <v>+</v>
      </c>
      <c r="J422" s="19">
        <f t="shared" si="48"/>
        <v>1.1904761904761905</v>
      </c>
      <c r="K422" s="19">
        <f t="shared" si="49"/>
        <v>-3.8031417158179397</v>
      </c>
      <c r="L422" s="20" t="str">
        <f t="shared" si="44"/>
        <v>Normal</v>
      </c>
      <c r="M422" s="20" t="str">
        <f t="shared" si="45"/>
        <v>Normal</v>
      </c>
      <c r="N422" s="20" t="str">
        <f t="shared" si="46"/>
        <v>No</v>
      </c>
    </row>
    <row r="423" spans="1:14" x14ac:dyDescent="0.25">
      <c r="A423" s="15">
        <v>44077</v>
      </c>
      <c r="B423" s="16">
        <v>2020</v>
      </c>
      <c r="C423" s="17">
        <v>850</v>
      </c>
      <c r="D423" s="17">
        <v>855</v>
      </c>
      <c r="E423" s="17">
        <v>825</v>
      </c>
      <c r="F423" s="17">
        <v>830</v>
      </c>
      <c r="G423" s="17">
        <v>684.77</v>
      </c>
      <c r="H423" s="18">
        <v>96483000</v>
      </c>
      <c r="I423" s="22" t="str">
        <f t="shared" si="47"/>
        <v>-</v>
      </c>
      <c r="J423" s="19">
        <f t="shared" si="48"/>
        <v>-2.3529411764705883</v>
      </c>
      <c r="K423" s="19">
        <f t="shared" si="49"/>
        <v>-23.510511031886278</v>
      </c>
      <c r="L423" s="20" t="str">
        <f t="shared" si="44"/>
        <v>Normal</v>
      </c>
      <c r="M423" s="20" t="str">
        <f t="shared" si="45"/>
        <v>Normal</v>
      </c>
      <c r="N423" s="20" t="str">
        <f t="shared" si="46"/>
        <v>No</v>
      </c>
    </row>
    <row r="424" spans="1:14" x14ac:dyDescent="0.25">
      <c r="A424" s="15">
        <v>44078</v>
      </c>
      <c r="B424" s="16">
        <v>2020</v>
      </c>
      <c r="C424" s="17">
        <v>820</v>
      </c>
      <c r="D424" s="17">
        <v>830</v>
      </c>
      <c r="E424" s="17">
        <v>800</v>
      </c>
      <c r="F424" s="17">
        <v>825</v>
      </c>
      <c r="G424" s="17">
        <v>680.64</v>
      </c>
      <c r="H424" s="18">
        <v>93463300</v>
      </c>
      <c r="I424" s="22" t="str">
        <f t="shared" si="47"/>
        <v>-</v>
      </c>
      <c r="J424" s="19">
        <f t="shared" si="48"/>
        <v>-0.60240963855421692</v>
      </c>
      <c r="K424" s="19">
        <f t="shared" si="49"/>
        <v>-3.1297741571053965</v>
      </c>
      <c r="L424" s="20" t="str">
        <f t="shared" si="44"/>
        <v>Normal</v>
      </c>
      <c r="M424" s="20" t="str">
        <f t="shared" si="45"/>
        <v>Normal</v>
      </c>
      <c r="N424" s="20" t="str">
        <f t="shared" si="46"/>
        <v>No</v>
      </c>
    </row>
    <row r="425" spans="1:14" x14ac:dyDescent="0.25">
      <c r="A425" s="15">
        <v>44081</v>
      </c>
      <c r="B425" s="16">
        <v>2020</v>
      </c>
      <c r="C425" s="17">
        <v>825</v>
      </c>
      <c r="D425" s="17">
        <v>830</v>
      </c>
      <c r="E425" s="17">
        <v>810</v>
      </c>
      <c r="F425" s="17">
        <v>825</v>
      </c>
      <c r="G425" s="17">
        <v>680.64</v>
      </c>
      <c r="H425" s="18">
        <v>35138000</v>
      </c>
      <c r="I425" s="22" t="str">
        <f t="shared" si="47"/>
        <v>0</v>
      </c>
      <c r="J425" s="19">
        <f t="shared" si="48"/>
        <v>0</v>
      </c>
      <c r="K425" s="19">
        <f t="shared" si="49"/>
        <v>-62.404494598414558</v>
      </c>
      <c r="L425" s="20" t="str">
        <f t="shared" si="44"/>
        <v>Normal</v>
      </c>
      <c r="M425" s="20" t="str">
        <f t="shared" si="45"/>
        <v>Sharp Volume Decrease</v>
      </c>
      <c r="N425" s="20" t="str">
        <f t="shared" si="46"/>
        <v>No</v>
      </c>
    </row>
    <row r="426" spans="1:14" x14ac:dyDescent="0.25">
      <c r="A426" s="15">
        <v>44082</v>
      </c>
      <c r="B426" s="16">
        <v>2020</v>
      </c>
      <c r="C426" s="17">
        <v>825</v>
      </c>
      <c r="D426" s="17">
        <v>840</v>
      </c>
      <c r="E426" s="17">
        <v>820</v>
      </c>
      <c r="F426" s="17">
        <v>825</v>
      </c>
      <c r="G426" s="17">
        <v>680.64</v>
      </c>
      <c r="H426" s="18">
        <v>60255800</v>
      </c>
      <c r="I426" s="22" t="str">
        <f t="shared" si="47"/>
        <v>0</v>
      </c>
      <c r="J426" s="19">
        <f t="shared" si="48"/>
        <v>0</v>
      </c>
      <c r="K426" s="19">
        <f t="shared" si="49"/>
        <v>71.483294439068814</v>
      </c>
      <c r="L426" s="20" t="str">
        <f t="shared" si="44"/>
        <v>Normal</v>
      </c>
      <c r="M426" s="20" t="str">
        <f t="shared" si="45"/>
        <v>Normal</v>
      </c>
      <c r="N426" s="20" t="str">
        <f t="shared" si="46"/>
        <v>No</v>
      </c>
    </row>
    <row r="427" spans="1:14" x14ac:dyDescent="0.25">
      <c r="A427" s="15">
        <v>44083</v>
      </c>
      <c r="B427" s="16">
        <v>2020</v>
      </c>
      <c r="C427" s="17">
        <v>810</v>
      </c>
      <c r="D427" s="17">
        <v>810</v>
      </c>
      <c r="E427" s="17">
        <v>780</v>
      </c>
      <c r="F427" s="17">
        <v>795</v>
      </c>
      <c r="G427" s="17">
        <v>655.89</v>
      </c>
      <c r="H427" s="18">
        <v>109624500</v>
      </c>
      <c r="I427" s="22" t="str">
        <f t="shared" si="47"/>
        <v>-</v>
      </c>
      <c r="J427" s="19">
        <f t="shared" si="48"/>
        <v>-3.6363636363636362</v>
      </c>
      <c r="K427" s="19">
        <f t="shared" si="49"/>
        <v>81.931863820578272</v>
      </c>
      <c r="L427" s="20" t="str">
        <f t="shared" si="44"/>
        <v>Normal</v>
      </c>
      <c r="M427" s="20" t="str">
        <f t="shared" si="45"/>
        <v>Normal</v>
      </c>
      <c r="N427" s="20" t="str">
        <f t="shared" si="46"/>
        <v>No</v>
      </c>
    </row>
    <row r="428" spans="1:14" x14ac:dyDescent="0.25">
      <c r="A428" s="15">
        <v>44084</v>
      </c>
      <c r="B428" s="16">
        <v>2020</v>
      </c>
      <c r="C428" s="17">
        <v>785</v>
      </c>
      <c r="D428" s="17">
        <v>790</v>
      </c>
      <c r="E428" s="17">
        <v>740</v>
      </c>
      <c r="F428" s="17">
        <v>740</v>
      </c>
      <c r="G428" s="17">
        <v>610.52</v>
      </c>
      <c r="H428" s="18">
        <v>121922400</v>
      </c>
      <c r="I428" s="22" t="str">
        <f t="shared" si="47"/>
        <v>-</v>
      </c>
      <c r="J428" s="19">
        <f t="shared" si="48"/>
        <v>-6.9182389937106921</v>
      </c>
      <c r="K428" s="19">
        <f t="shared" si="49"/>
        <v>11.21820395988123</v>
      </c>
      <c r="L428" s="20" t="str">
        <f t="shared" si="44"/>
        <v>Sharp Price Decrease</v>
      </c>
      <c r="M428" s="20" t="str">
        <f t="shared" si="45"/>
        <v>Normal</v>
      </c>
      <c r="N428" s="20" t="str">
        <f t="shared" si="46"/>
        <v>No</v>
      </c>
    </row>
    <row r="429" spans="1:14" x14ac:dyDescent="0.25">
      <c r="A429" s="15">
        <v>44085</v>
      </c>
      <c r="B429" s="16">
        <v>2020</v>
      </c>
      <c r="C429" s="17">
        <v>710</v>
      </c>
      <c r="D429" s="17">
        <v>780</v>
      </c>
      <c r="E429" s="17">
        <v>700</v>
      </c>
      <c r="F429" s="17">
        <v>775</v>
      </c>
      <c r="G429" s="17">
        <v>639.39</v>
      </c>
      <c r="H429" s="18">
        <v>114696400</v>
      </c>
      <c r="I429" s="22" t="str">
        <f t="shared" si="47"/>
        <v>+</v>
      </c>
      <c r="J429" s="19">
        <f t="shared" si="48"/>
        <v>4.7297297297297298</v>
      </c>
      <c r="K429" s="19">
        <f t="shared" si="49"/>
        <v>-5.9267206026128099</v>
      </c>
      <c r="L429" s="20" t="str">
        <f t="shared" si="44"/>
        <v>Normal</v>
      </c>
      <c r="M429" s="20" t="str">
        <f t="shared" si="45"/>
        <v>Normal</v>
      </c>
      <c r="N429" s="20" t="str">
        <f t="shared" si="46"/>
        <v>No</v>
      </c>
    </row>
    <row r="430" spans="1:14" x14ac:dyDescent="0.25">
      <c r="A430" s="15">
        <v>44088</v>
      </c>
      <c r="B430" s="16">
        <v>2020</v>
      </c>
      <c r="C430" s="17">
        <v>780</v>
      </c>
      <c r="D430" s="17">
        <v>805</v>
      </c>
      <c r="E430" s="17">
        <v>780</v>
      </c>
      <c r="F430" s="17">
        <v>800</v>
      </c>
      <c r="G430" s="17">
        <v>660.02</v>
      </c>
      <c r="H430" s="18">
        <v>61791200</v>
      </c>
      <c r="I430" s="22" t="str">
        <f t="shared" si="47"/>
        <v>+</v>
      </c>
      <c r="J430" s="19">
        <f t="shared" si="48"/>
        <v>3.225806451612903</v>
      </c>
      <c r="K430" s="19">
        <f t="shared" si="49"/>
        <v>-46.126295158348476</v>
      </c>
      <c r="L430" s="20" t="str">
        <f t="shared" si="44"/>
        <v>Normal</v>
      </c>
      <c r="M430" s="20" t="str">
        <f t="shared" si="45"/>
        <v>Normal</v>
      </c>
      <c r="N430" s="20" t="str">
        <f t="shared" si="46"/>
        <v>No</v>
      </c>
    </row>
    <row r="431" spans="1:14" x14ac:dyDescent="0.25">
      <c r="A431" s="15">
        <v>44089</v>
      </c>
      <c r="B431" s="16">
        <v>2020</v>
      </c>
      <c r="C431" s="17">
        <v>810</v>
      </c>
      <c r="D431" s="17">
        <v>820</v>
      </c>
      <c r="E431" s="17">
        <v>785</v>
      </c>
      <c r="F431" s="17">
        <v>805</v>
      </c>
      <c r="G431" s="17">
        <v>664.14</v>
      </c>
      <c r="H431" s="18">
        <v>66313200</v>
      </c>
      <c r="I431" s="22" t="str">
        <f t="shared" si="47"/>
        <v>+</v>
      </c>
      <c r="J431" s="19">
        <f t="shared" si="48"/>
        <v>0.625</v>
      </c>
      <c r="K431" s="19">
        <f t="shared" si="49"/>
        <v>7.3181941765170437</v>
      </c>
      <c r="L431" s="20" t="str">
        <f t="shared" si="44"/>
        <v>Normal</v>
      </c>
      <c r="M431" s="20" t="str">
        <f t="shared" si="45"/>
        <v>Normal</v>
      </c>
      <c r="N431" s="20" t="str">
        <f t="shared" si="46"/>
        <v>No</v>
      </c>
    </row>
    <row r="432" spans="1:14" x14ac:dyDescent="0.25">
      <c r="A432" s="15">
        <v>44090</v>
      </c>
      <c r="B432" s="16">
        <v>2020</v>
      </c>
      <c r="C432" s="17">
        <v>805</v>
      </c>
      <c r="D432" s="17">
        <v>810</v>
      </c>
      <c r="E432" s="17">
        <v>785</v>
      </c>
      <c r="F432" s="17">
        <v>795</v>
      </c>
      <c r="G432" s="17">
        <v>655.89</v>
      </c>
      <c r="H432" s="18">
        <v>31285000</v>
      </c>
      <c r="I432" s="22" t="str">
        <f t="shared" si="47"/>
        <v>-</v>
      </c>
      <c r="J432" s="19">
        <f t="shared" si="48"/>
        <v>-1.2422360248447204</v>
      </c>
      <c r="K432" s="19">
        <f t="shared" si="49"/>
        <v>-52.822364174855082</v>
      </c>
      <c r="L432" s="20" t="str">
        <f t="shared" si="44"/>
        <v>Normal</v>
      </c>
      <c r="M432" s="20" t="str">
        <f t="shared" si="45"/>
        <v>Normal</v>
      </c>
      <c r="N432" s="20" t="str">
        <f t="shared" si="46"/>
        <v>No</v>
      </c>
    </row>
    <row r="433" spans="1:14" x14ac:dyDescent="0.25">
      <c r="A433" s="15">
        <v>44091</v>
      </c>
      <c r="B433" s="16">
        <v>2020</v>
      </c>
      <c r="C433" s="17">
        <v>805</v>
      </c>
      <c r="D433" s="17">
        <v>805</v>
      </c>
      <c r="E433" s="17">
        <v>765</v>
      </c>
      <c r="F433" s="17">
        <v>775</v>
      </c>
      <c r="G433" s="17">
        <v>639.39</v>
      </c>
      <c r="H433" s="18">
        <v>47543300</v>
      </c>
      <c r="I433" s="22" t="str">
        <f t="shared" si="47"/>
        <v>-</v>
      </c>
      <c r="J433" s="19">
        <f t="shared" si="48"/>
        <v>-2.5157232704402519</v>
      </c>
      <c r="K433" s="19">
        <f t="shared" si="49"/>
        <v>51.968355441905068</v>
      </c>
      <c r="L433" s="20" t="str">
        <f t="shared" si="44"/>
        <v>Normal</v>
      </c>
      <c r="M433" s="20" t="str">
        <f t="shared" si="45"/>
        <v>Normal</v>
      </c>
      <c r="N433" s="20" t="str">
        <f t="shared" si="46"/>
        <v>No</v>
      </c>
    </row>
    <row r="434" spans="1:14" x14ac:dyDescent="0.25">
      <c r="A434" s="15">
        <v>44092</v>
      </c>
      <c r="B434" s="16">
        <v>2020</v>
      </c>
      <c r="C434" s="17">
        <v>780</v>
      </c>
      <c r="D434" s="17">
        <v>795</v>
      </c>
      <c r="E434" s="17">
        <v>775</v>
      </c>
      <c r="F434" s="17">
        <v>790</v>
      </c>
      <c r="G434" s="17">
        <v>651.77</v>
      </c>
      <c r="H434" s="18">
        <v>28855300</v>
      </c>
      <c r="I434" s="22" t="str">
        <f t="shared" si="47"/>
        <v>+</v>
      </c>
      <c r="J434" s="19">
        <f t="shared" si="48"/>
        <v>1.935483870967742</v>
      </c>
      <c r="K434" s="19">
        <f t="shared" si="49"/>
        <v>-39.307326163728646</v>
      </c>
      <c r="L434" s="20" t="str">
        <f t="shared" si="44"/>
        <v>Normal</v>
      </c>
      <c r="M434" s="20" t="str">
        <f t="shared" si="45"/>
        <v>Normal</v>
      </c>
      <c r="N434" s="20" t="str">
        <f t="shared" si="46"/>
        <v>No</v>
      </c>
    </row>
    <row r="435" spans="1:14" x14ac:dyDescent="0.25">
      <c r="A435" s="15">
        <v>44095</v>
      </c>
      <c r="B435" s="16">
        <v>2020</v>
      </c>
      <c r="C435" s="17">
        <v>785</v>
      </c>
      <c r="D435" s="17">
        <v>790</v>
      </c>
      <c r="E435" s="17">
        <v>760</v>
      </c>
      <c r="F435" s="17">
        <v>765</v>
      </c>
      <c r="G435" s="17">
        <v>631.14</v>
      </c>
      <c r="H435" s="18">
        <v>34817700</v>
      </c>
      <c r="I435" s="22" t="str">
        <f t="shared" si="47"/>
        <v>-</v>
      </c>
      <c r="J435" s="19">
        <f t="shared" si="48"/>
        <v>-3.1645569620253164</v>
      </c>
      <c r="K435" s="19">
        <f t="shared" si="49"/>
        <v>20.663101752537663</v>
      </c>
      <c r="L435" s="20" t="str">
        <f t="shared" si="44"/>
        <v>Normal</v>
      </c>
      <c r="M435" s="20" t="str">
        <f t="shared" si="45"/>
        <v>Normal</v>
      </c>
      <c r="N435" s="20" t="str">
        <f t="shared" si="46"/>
        <v>No</v>
      </c>
    </row>
    <row r="436" spans="1:14" x14ac:dyDescent="0.25">
      <c r="A436" s="15">
        <v>44096</v>
      </c>
      <c r="B436" s="16">
        <v>2020</v>
      </c>
      <c r="C436" s="17">
        <v>750</v>
      </c>
      <c r="D436" s="17">
        <v>755</v>
      </c>
      <c r="E436" s="17">
        <v>725</v>
      </c>
      <c r="F436" s="17">
        <v>735</v>
      </c>
      <c r="G436" s="17">
        <v>606.39</v>
      </c>
      <c r="H436" s="18">
        <v>52789600</v>
      </c>
      <c r="I436" s="22" t="str">
        <f t="shared" si="47"/>
        <v>-</v>
      </c>
      <c r="J436" s="19">
        <f t="shared" si="48"/>
        <v>-3.9215686274509802</v>
      </c>
      <c r="K436" s="19">
        <f t="shared" si="49"/>
        <v>51.61713726064616</v>
      </c>
      <c r="L436" s="20" t="str">
        <f t="shared" si="44"/>
        <v>Normal</v>
      </c>
      <c r="M436" s="20" t="str">
        <f t="shared" si="45"/>
        <v>Normal</v>
      </c>
      <c r="N436" s="20" t="str">
        <f t="shared" si="46"/>
        <v>No</v>
      </c>
    </row>
    <row r="437" spans="1:14" x14ac:dyDescent="0.25">
      <c r="A437" s="15">
        <v>44097</v>
      </c>
      <c r="B437" s="16">
        <v>2020</v>
      </c>
      <c r="C437" s="17">
        <v>755</v>
      </c>
      <c r="D437" s="17">
        <v>780</v>
      </c>
      <c r="E437" s="17">
        <v>735</v>
      </c>
      <c r="F437" s="17">
        <v>750</v>
      </c>
      <c r="G437" s="17">
        <v>618.77</v>
      </c>
      <c r="H437" s="18">
        <v>95405500</v>
      </c>
      <c r="I437" s="22" t="str">
        <f t="shared" si="47"/>
        <v>+</v>
      </c>
      <c r="J437" s="19">
        <f t="shared" si="48"/>
        <v>2.0408163265306123</v>
      </c>
      <c r="K437" s="19">
        <f t="shared" si="49"/>
        <v>80.727832754936586</v>
      </c>
      <c r="L437" s="20" t="str">
        <f t="shared" si="44"/>
        <v>Normal</v>
      </c>
      <c r="M437" s="20" t="str">
        <f t="shared" si="45"/>
        <v>Normal</v>
      </c>
      <c r="N437" s="20" t="str">
        <f t="shared" si="46"/>
        <v>No</v>
      </c>
    </row>
    <row r="438" spans="1:14" x14ac:dyDescent="0.25">
      <c r="A438" s="15">
        <v>44098</v>
      </c>
      <c r="B438" s="16">
        <v>2020</v>
      </c>
      <c r="C438" s="17">
        <v>750</v>
      </c>
      <c r="D438" s="17">
        <v>750</v>
      </c>
      <c r="E438" s="17">
        <v>705</v>
      </c>
      <c r="F438" s="17">
        <v>720</v>
      </c>
      <c r="G438" s="17">
        <v>594.01</v>
      </c>
      <c r="H438" s="18">
        <v>69787900</v>
      </c>
      <c r="I438" s="22" t="str">
        <f t="shared" si="47"/>
        <v>-</v>
      </c>
      <c r="J438" s="19">
        <f t="shared" si="48"/>
        <v>-4</v>
      </c>
      <c r="K438" s="19">
        <f t="shared" si="49"/>
        <v>-26.851282158785395</v>
      </c>
      <c r="L438" s="20" t="str">
        <f t="shared" si="44"/>
        <v>Normal</v>
      </c>
      <c r="M438" s="20" t="str">
        <f t="shared" si="45"/>
        <v>Normal</v>
      </c>
      <c r="N438" s="20" t="str">
        <f t="shared" si="46"/>
        <v>No</v>
      </c>
    </row>
    <row r="439" spans="1:14" x14ac:dyDescent="0.25">
      <c r="A439" s="15">
        <v>44099</v>
      </c>
      <c r="B439" s="16">
        <v>2020</v>
      </c>
      <c r="C439" s="17">
        <v>735</v>
      </c>
      <c r="D439" s="17">
        <v>735</v>
      </c>
      <c r="E439" s="17">
        <v>715</v>
      </c>
      <c r="F439" s="17">
        <v>730</v>
      </c>
      <c r="G439" s="17">
        <v>602.26</v>
      </c>
      <c r="H439" s="18">
        <v>42231400</v>
      </c>
      <c r="I439" s="22" t="str">
        <f t="shared" si="47"/>
        <v>+</v>
      </c>
      <c r="J439" s="19">
        <f t="shared" si="48"/>
        <v>1.3888888888888888</v>
      </c>
      <c r="K439" s="19">
        <f t="shared" si="49"/>
        <v>-39.486071367672622</v>
      </c>
      <c r="L439" s="20" t="str">
        <f t="shared" si="44"/>
        <v>Normal</v>
      </c>
      <c r="M439" s="20" t="str">
        <f t="shared" si="45"/>
        <v>Normal</v>
      </c>
      <c r="N439" s="20" t="str">
        <f t="shared" si="46"/>
        <v>No</v>
      </c>
    </row>
    <row r="440" spans="1:14" x14ac:dyDescent="0.25">
      <c r="A440" s="15">
        <v>44102</v>
      </c>
      <c r="B440" s="16">
        <v>2020</v>
      </c>
      <c r="C440" s="17">
        <v>730</v>
      </c>
      <c r="D440" s="17">
        <v>740</v>
      </c>
      <c r="E440" s="17">
        <v>715</v>
      </c>
      <c r="F440" s="17">
        <v>725</v>
      </c>
      <c r="G440" s="17">
        <v>598.14</v>
      </c>
      <c r="H440" s="18">
        <v>23365500</v>
      </c>
      <c r="I440" s="22" t="str">
        <f t="shared" si="47"/>
        <v>-</v>
      </c>
      <c r="J440" s="19">
        <f t="shared" si="48"/>
        <v>-0.68493150684931503</v>
      </c>
      <c r="K440" s="19">
        <f t="shared" si="49"/>
        <v>-44.67268430599033</v>
      </c>
      <c r="L440" s="20" t="str">
        <f t="shared" si="44"/>
        <v>Normal</v>
      </c>
      <c r="M440" s="20" t="str">
        <f t="shared" si="45"/>
        <v>Normal</v>
      </c>
      <c r="N440" s="20" t="str">
        <f t="shared" si="46"/>
        <v>No</v>
      </c>
    </row>
    <row r="441" spans="1:14" x14ac:dyDescent="0.25">
      <c r="A441" s="15">
        <v>44103</v>
      </c>
      <c r="B441" s="16">
        <v>2020</v>
      </c>
      <c r="C441" s="17">
        <v>735</v>
      </c>
      <c r="D441" s="17">
        <v>740</v>
      </c>
      <c r="E441" s="17">
        <v>715</v>
      </c>
      <c r="F441" s="17">
        <v>715</v>
      </c>
      <c r="G441" s="17">
        <v>589.89</v>
      </c>
      <c r="H441" s="18">
        <v>47576900</v>
      </c>
      <c r="I441" s="22" t="str">
        <f t="shared" si="47"/>
        <v>-</v>
      </c>
      <c r="J441" s="19">
        <f t="shared" si="48"/>
        <v>-1.3793103448275863</v>
      </c>
      <c r="K441" s="19">
        <f t="shared" si="49"/>
        <v>103.62029487920223</v>
      </c>
      <c r="L441" s="20" t="str">
        <f t="shared" si="44"/>
        <v>Normal</v>
      </c>
      <c r="M441" s="20" t="str">
        <f t="shared" si="45"/>
        <v>Normal</v>
      </c>
      <c r="N441" s="20" t="str">
        <f t="shared" si="46"/>
        <v>No</v>
      </c>
    </row>
    <row r="442" spans="1:14" x14ac:dyDescent="0.25">
      <c r="A442" s="15">
        <v>44104</v>
      </c>
      <c r="B442" s="16">
        <v>2020</v>
      </c>
      <c r="C442" s="17">
        <v>720</v>
      </c>
      <c r="D442" s="17">
        <v>730</v>
      </c>
      <c r="E442" s="17">
        <v>695</v>
      </c>
      <c r="F442" s="17">
        <v>705</v>
      </c>
      <c r="G442" s="17">
        <v>581.64</v>
      </c>
      <c r="H442" s="18">
        <v>40688700</v>
      </c>
      <c r="I442" s="22" t="str">
        <f t="shared" si="47"/>
        <v>-</v>
      </c>
      <c r="J442" s="19">
        <f t="shared" si="48"/>
        <v>-1.3986013986013985</v>
      </c>
      <c r="K442" s="19">
        <f t="shared" si="49"/>
        <v>-14.478034508343335</v>
      </c>
      <c r="L442" s="20" t="str">
        <f t="shared" si="44"/>
        <v>Normal</v>
      </c>
      <c r="M442" s="20" t="str">
        <f t="shared" si="45"/>
        <v>Normal</v>
      </c>
      <c r="N442" s="20" t="str">
        <f t="shared" si="46"/>
        <v>No</v>
      </c>
    </row>
    <row r="443" spans="1:14" x14ac:dyDescent="0.25">
      <c r="A443" s="15">
        <v>44105</v>
      </c>
      <c r="B443" s="16">
        <v>2020</v>
      </c>
      <c r="C443" s="17">
        <v>710</v>
      </c>
      <c r="D443" s="17">
        <v>740</v>
      </c>
      <c r="E443" s="17">
        <v>710</v>
      </c>
      <c r="F443" s="17">
        <v>735</v>
      </c>
      <c r="G443" s="17">
        <v>606.39</v>
      </c>
      <c r="H443" s="18">
        <v>45502700</v>
      </c>
      <c r="I443" s="22" t="str">
        <f t="shared" si="47"/>
        <v>+</v>
      </c>
      <c r="J443" s="19">
        <f t="shared" si="48"/>
        <v>4.2553191489361701</v>
      </c>
      <c r="K443" s="19">
        <f t="shared" si="49"/>
        <v>11.831294683781984</v>
      </c>
      <c r="L443" s="20" t="str">
        <f t="shared" si="44"/>
        <v>Normal</v>
      </c>
      <c r="M443" s="20" t="str">
        <f t="shared" si="45"/>
        <v>Normal</v>
      </c>
      <c r="N443" s="20" t="str">
        <f t="shared" si="46"/>
        <v>No</v>
      </c>
    </row>
    <row r="444" spans="1:14" x14ac:dyDescent="0.25">
      <c r="A444" s="15">
        <v>44106</v>
      </c>
      <c r="B444" s="16">
        <v>2020</v>
      </c>
      <c r="C444" s="17">
        <v>735</v>
      </c>
      <c r="D444" s="17">
        <v>735</v>
      </c>
      <c r="E444" s="17">
        <v>705</v>
      </c>
      <c r="F444" s="17">
        <v>725</v>
      </c>
      <c r="G444" s="17">
        <v>598.14</v>
      </c>
      <c r="H444" s="18">
        <v>56903300</v>
      </c>
      <c r="I444" s="22" t="str">
        <f t="shared" si="47"/>
        <v>-</v>
      </c>
      <c r="J444" s="19">
        <f t="shared" si="48"/>
        <v>-1.3605442176870748</v>
      </c>
      <c r="K444" s="19">
        <f t="shared" si="49"/>
        <v>25.054776969278748</v>
      </c>
      <c r="L444" s="20" t="str">
        <f t="shared" si="44"/>
        <v>Normal</v>
      </c>
      <c r="M444" s="20" t="str">
        <f t="shared" si="45"/>
        <v>Normal</v>
      </c>
      <c r="N444" s="20" t="str">
        <f t="shared" si="46"/>
        <v>No</v>
      </c>
    </row>
    <row r="445" spans="1:14" x14ac:dyDescent="0.25">
      <c r="A445" s="15">
        <v>44109</v>
      </c>
      <c r="B445" s="16">
        <v>2020</v>
      </c>
      <c r="C445" s="17">
        <v>735</v>
      </c>
      <c r="D445" s="17">
        <v>735</v>
      </c>
      <c r="E445" s="17">
        <v>715</v>
      </c>
      <c r="F445" s="17">
        <v>720</v>
      </c>
      <c r="G445" s="17">
        <v>594.01</v>
      </c>
      <c r="H445" s="18">
        <v>20089800</v>
      </c>
      <c r="I445" s="22" t="str">
        <f t="shared" si="47"/>
        <v>-</v>
      </c>
      <c r="J445" s="19">
        <f t="shared" si="48"/>
        <v>-0.68965517241379315</v>
      </c>
      <c r="K445" s="19">
        <f t="shared" si="49"/>
        <v>-64.694841951169792</v>
      </c>
      <c r="L445" s="20" t="str">
        <f t="shared" si="44"/>
        <v>Normal</v>
      </c>
      <c r="M445" s="20" t="str">
        <f t="shared" si="45"/>
        <v>Sharp Volume Decrease</v>
      </c>
      <c r="N445" s="20" t="str">
        <f t="shared" si="46"/>
        <v>No</v>
      </c>
    </row>
    <row r="446" spans="1:14" x14ac:dyDescent="0.25">
      <c r="A446" s="15">
        <v>44110</v>
      </c>
      <c r="B446" s="16">
        <v>2020</v>
      </c>
      <c r="C446" s="17">
        <v>730</v>
      </c>
      <c r="D446" s="17">
        <v>735</v>
      </c>
      <c r="E446" s="17">
        <v>715</v>
      </c>
      <c r="F446" s="17">
        <v>720</v>
      </c>
      <c r="G446" s="17">
        <v>594.01</v>
      </c>
      <c r="H446" s="18">
        <v>39918300</v>
      </c>
      <c r="I446" s="22" t="str">
        <f t="shared" si="47"/>
        <v>0</v>
      </c>
      <c r="J446" s="19">
        <f t="shared" si="48"/>
        <v>0</v>
      </c>
      <c r="K446" s="19">
        <f t="shared" si="49"/>
        <v>98.699339963563602</v>
      </c>
      <c r="L446" s="20" t="str">
        <f t="shared" si="44"/>
        <v>Normal</v>
      </c>
      <c r="M446" s="20" t="str">
        <f t="shared" si="45"/>
        <v>Normal</v>
      </c>
      <c r="N446" s="20" t="str">
        <f t="shared" si="46"/>
        <v>No</v>
      </c>
    </row>
    <row r="447" spans="1:14" x14ac:dyDescent="0.25">
      <c r="A447" s="15">
        <v>44111</v>
      </c>
      <c r="B447" s="16">
        <v>2020</v>
      </c>
      <c r="C447" s="17">
        <v>715</v>
      </c>
      <c r="D447" s="17">
        <v>720</v>
      </c>
      <c r="E447" s="17">
        <v>710</v>
      </c>
      <c r="F447" s="17">
        <v>715</v>
      </c>
      <c r="G447" s="17">
        <v>589.89</v>
      </c>
      <c r="H447" s="18">
        <v>22001600</v>
      </c>
      <c r="I447" s="22" t="str">
        <f t="shared" si="47"/>
        <v>-</v>
      </c>
      <c r="J447" s="19">
        <f t="shared" si="48"/>
        <v>-0.69444444444444442</v>
      </c>
      <c r="K447" s="19">
        <f t="shared" si="49"/>
        <v>-44.883424394325409</v>
      </c>
      <c r="L447" s="20" t="str">
        <f t="shared" si="44"/>
        <v>Normal</v>
      </c>
      <c r="M447" s="20" t="str">
        <f t="shared" si="45"/>
        <v>Normal</v>
      </c>
      <c r="N447" s="20" t="str">
        <f t="shared" si="46"/>
        <v>No</v>
      </c>
    </row>
    <row r="448" spans="1:14" x14ac:dyDescent="0.25">
      <c r="A448" s="15">
        <v>44112</v>
      </c>
      <c r="B448" s="16">
        <v>2020</v>
      </c>
      <c r="C448" s="17">
        <v>720</v>
      </c>
      <c r="D448" s="17">
        <v>730</v>
      </c>
      <c r="E448" s="17">
        <v>715</v>
      </c>
      <c r="F448" s="17">
        <v>720</v>
      </c>
      <c r="G448" s="17">
        <v>594.01</v>
      </c>
      <c r="H448" s="18">
        <v>28843100</v>
      </c>
      <c r="I448" s="22" t="str">
        <f t="shared" si="47"/>
        <v>+</v>
      </c>
      <c r="J448" s="19">
        <f t="shared" si="48"/>
        <v>0.69930069930069927</v>
      </c>
      <c r="K448" s="19">
        <f t="shared" si="49"/>
        <v>31.095465784306597</v>
      </c>
      <c r="L448" s="20" t="str">
        <f t="shared" si="44"/>
        <v>Normal</v>
      </c>
      <c r="M448" s="20" t="str">
        <f t="shared" si="45"/>
        <v>Normal</v>
      </c>
      <c r="N448" s="20" t="str">
        <f t="shared" si="46"/>
        <v>No</v>
      </c>
    </row>
    <row r="449" spans="1:14" x14ac:dyDescent="0.25">
      <c r="A449" s="15">
        <v>44113</v>
      </c>
      <c r="B449" s="16">
        <v>2020</v>
      </c>
      <c r="C449" s="17">
        <v>730</v>
      </c>
      <c r="D449" s="17">
        <v>775</v>
      </c>
      <c r="E449" s="17">
        <v>725</v>
      </c>
      <c r="F449" s="17">
        <v>765</v>
      </c>
      <c r="G449" s="17">
        <v>631.14</v>
      </c>
      <c r="H449" s="18">
        <v>175465400</v>
      </c>
      <c r="I449" s="22" t="str">
        <f t="shared" si="47"/>
        <v>+</v>
      </c>
      <c r="J449" s="19">
        <f t="shared" si="48"/>
        <v>6.25</v>
      </c>
      <c r="K449" s="19">
        <f t="shared" si="49"/>
        <v>508.34445673315287</v>
      </c>
      <c r="L449" s="20" t="str">
        <f t="shared" si="44"/>
        <v>Sharp Price Increase</v>
      </c>
      <c r="M449" s="20" t="str">
        <f t="shared" si="45"/>
        <v>Sharp Volume Increase</v>
      </c>
      <c r="N449" s="21" t="str">
        <f t="shared" si="46"/>
        <v>Yes</v>
      </c>
    </row>
    <row r="450" spans="1:14" x14ac:dyDescent="0.25">
      <c r="A450" s="15">
        <v>44116</v>
      </c>
      <c r="B450" s="16">
        <v>2020</v>
      </c>
      <c r="C450" s="17">
        <v>780</v>
      </c>
      <c r="D450" s="17">
        <v>790</v>
      </c>
      <c r="E450" s="17">
        <v>765</v>
      </c>
      <c r="F450" s="17">
        <v>780</v>
      </c>
      <c r="G450" s="17">
        <v>643.52</v>
      </c>
      <c r="H450" s="18">
        <v>108451600</v>
      </c>
      <c r="I450" s="22" t="str">
        <f t="shared" si="47"/>
        <v>+</v>
      </c>
      <c r="J450" s="19">
        <f t="shared" si="48"/>
        <v>1.9607843137254901</v>
      </c>
      <c r="K450" s="19">
        <f t="shared" si="49"/>
        <v>-38.192031021500533</v>
      </c>
      <c r="L450" s="20" t="str">
        <f t="shared" si="44"/>
        <v>Normal</v>
      </c>
      <c r="M450" s="20" t="str">
        <f t="shared" si="45"/>
        <v>Normal</v>
      </c>
      <c r="N450" s="20" t="str">
        <f t="shared" si="46"/>
        <v>No</v>
      </c>
    </row>
    <row r="451" spans="1:14" x14ac:dyDescent="0.25">
      <c r="A451" s="15">
        <v>44117</v>
      </c>
      <c r="B451" s="16">
        <v>2020</v>
      </c>
      <c r="C451" s="17">
        <v>780</v>
      </c>
      <c r="D451" s="17">
        <v>780</v>
      </c>
      <c r="E451" s="17">
        <v>760</v>
      </c>
      <c r="F451" s="17">
        <v>765</v>
      </c>
      <c r="G451" s="17">
        <v>631.14</v>
      </c>
      <c r="H451" s="18">
        <v>47798000</v>
      </c>
      <c r="I451" s="22" t="str">
        <f t="shared" si="47"/>
        <v>-</v>
      </c>
      <c r="J451" s="19">
        <f t="shared" si="48"/>
        <v>-1.9230769230769231</v>
      </c>
      <c r="K451" s="19">
        <f t="shared" si="49"/>
        <v>-55.926883513014104</v>
      </c>
      <c r="L451" s="20" t="str">
        <f t="shared" ref="L451:L514" si="50">IFERROR(IF(OR(J451="",ISBLANK(J451)),"Normal",IF(J451&lt;=$U$6,"Sharp Price Decrease",IF(J451&gt;=$U$7,"Sharp Price Increase","Normal"))),"Normal")</f>
        <v>Normal</v>
      </c>
      <c r="M451" s="20" t="str">
        <f t="shared" ref="M451:M514" si="51">IFERROR(IF(OR(K451="",ISBLANK(K451)),"Normal",IF(K451&lt;=$U$8,"Sharp Volume Decrease",IF(K451&gt;=$U$9,"Sharp Volume Increase","Normal"))),"Normal")</f>
        <v>Normal</v>
      </c>
      <c r="N451" s="20" t="str">
        <f t="shared" ref="N451:N514" si="52">IFERROR(IF(AND(OR(L451="Sharp Price Increase",L451="Sharp Price Decrease"),OR(M451="Sharp Volume Increase",M451="Sharp Volume Decrease")),"Yes","No"),"No")</f>
        <v>No</v>
      </c>
    </row>
    <row r="452" spans="1:14" x14ac:dyDescent="0.25">
      <c r="A452" s="15">
        <v>44118</v>
      </c>
      <c r="B452" s="16">
        <v>2020</v>
      </c>
      <c r="C452" s="17">
        <v>775</v>
      </c>
      <c r="D452" s="17">
        <v>955</v>
      </c>
      <c r="E452" s="17">
        <v>775</v>
      </c>
      <c r="F452" s="17">
        <v>955</v>
      </c>
      <c r="G452" s="17">
        <v>787.89</v>
      </c>
      <c r="H452" s="18">
        <v>1116793100</v>
      </c>
      <c r="I452" s="22" t="str">
        <f t="shared" ref="I452:I515" si="53">IFERROR(IF(OR(F451="",F452=""),"",IF(F452-F451&lt;0,"-",IF(F452-F451&gt;0,"+","0"))),"")</f>
        <v>+</v>
      </c>
      <c r="J452" s="19">
        <f t="shared" ref="J452:J515" si="54">(F452-F451)/F451*100</f>
        <v>24.836601307189543</v>
      </c>
      <c r="K452" s="19">
        <f t="shared" ref="K452:K515" si="55">(H452-H451)/H451*100</f>
        <v>2236.4849993723587</v>
      </c>
      <c r="L452" s="20" t="str">
        <f t="shared" si="50"/>
        <v>Sharp Price Increase</v>
      </c>
      <c r="M452" s="20" t="str">
        <f t="shared" si="51"/>
        <v>Sharp Volume Increase</v>
      </c>
      <c r="N452" s="21" t="str">
        <f t="shared" si="52"/>
        <v>Yes</v>
      </c>
    </row>
    <row r="453" spans="1:14" x14ac:dyDescent="0.25">
      <c r="A453" s="15">
        <v>44119</v>
      </c>
      <c r="B453" s="16">
        <v>2020</v>
      </c>
      <c r="C453" s="17">
        <v>1020</v>
      </c>
      <c r="D453" s="17">
        <v>1180</v>
      </c>
      <c r="E453" s="17">
        <v>920</v>
      </c>
      <c r="F453" s="17">
        <v>935</v>
      </c>
      <c r="G453" s="17">
        <v>771.39</v>
      </c>
      <c r="H453" s="18">
        <v>1510069900</v>
      </c>
      <c r="I453" s="22" t="str">
        <f t="shared" si="53"/>
        <v>-</v>
      </c>
      <c r="J453" s="19">
        <f t="shared" si="54"/>
        <v>-2.0942408376963351</v>
      </c>
      <c r="K453" s="19">
        <f t="shared" si="55"/>
        <v>35.214830750655608</v>
      </c>
      <c r="L453" s="20" t="str">
        <f t="shared" si="50"/>
        <v>Normal</v>
      </c>
      <c r="M453" s="20" t="str">
        <f t="shared" si="51"/>
        <v>Normal</v>
      </c>
      <c r="N453" s="20" t="str">
        <f t="shared" si="52"/>
        <v>No</v>
      </c>
    </row>
    <row r="454" spans="1:14" x14ac:dyDescent="0.25">
      <c r="A454" s="15">
        <v>44120</v>
      </c>
      <c r="B454" s="16">
        <v>2020</v>
      </c>
      <c r="C454" s="17">
        <v>960</v>
      </c>
      <c r="D454" s="17">
        <v>995</v>
      </c>
      <c r="E454" s="17">
        <v>920</v>
      </c>
      <c r="F454" s="17">
        <v>940</v>
      </c>
      <c r="G454" s="17">
        <v>775.52</v>
      </c>
      <c r="H454" s="18">
        <v>638756000</v>
      </c>
      <c r="I454" s="22" t="str">
        <f t="shared" si="53"/>
        <v>+</v>
      </c>
      <c r="J454" s="19">
        <f t="shared" si="54"/>
        <v>0.53475935828876997</v>
      </c>
      <c r="K454" s="19">
        <f t="shared" si="55"/>
        <v>-57.700236260586344</v>
      </c>
      <c r="L454" s="20" t="str">
        <f t="shared" si="50"/>
        <v>Normal</v>
      </c>
      <c r="M454" s="20" t="str">
        <f t="shared" si="51"/>
        <v>Sharp Volume Decrease</v>
      </c>
      <c r="N454" s="20" t="str">
        <f t="shared" si="52"/>
        <v>No</v>
      </c>
    </row>
    <row r="455" spans="1:14" x14ac:dyDescent="0.25">
      <c r="A455" s="15">
        <v>44123</v>
      </c>
      <c r="B455" s="16">
        <v>2020</v>
      </c>
      <c r="C455" s="17">
        <v>970</v>
      </c>
      <c r="D455" s="17">
        <v>1055</v>
      </c>
      <c r="E455" s="17">
        <v>950</v>
      </c>
      <c r="F455" s="17">
        <v>1055</v>
      </c>
      <c r="G455" s="17">
        <v>870.4</v>
      </c>
      <c r="H455" s="18">
        <v>1158293800</v>
      </c>
      <c r="I455" s="22" t="str">
        <f t="shared" si="53"/>
        <v>+</v>
      </c>
      <c r="J455" s="19">
        <f t="shared" si="54"/>
        <v>12.23404255319149</v>
      </c>
      <c r="K455" s="19">
        <f t="shared" si="55"/>
        <v>81.335877862595424</v>
      </c>
      <c r="L455" s="20" t="str">
        <f t="shared" si="50"/>
        <v>Sharp Price Increase</v>
      </c>
      <c r="M455" s="20" t="str">
        <f t="shared" si="51"/>
        <v>Normal</v>
      </c>
      <c r="N455" s="20" t="str">
        <f t="shared" si="52"/>
        <v>No</v>
      </c>
    </row>
    <row r="456" spans="1:14" x14ac:dyDescent="0.25">
      <c r="A456" s="15">
        <v>44124</v>
      </c>
      <c r="B456" s="16">
        <v>2020</v>
      </c>
      <c r="C456" s="17">
        <v>1055</v>
      </c>
      <c r="D456" s="17">
        <v>1065</v>
      </c>
      <c r="E456" s="17">
        <v>1020</v>
      </c>
      <c r="F456" s="17">
        <v>1035</v>
      </c>
      <c r="G456" s="17">
        <v>853.9</v>
      </c>
      <c r="H456" s="18">
        <v>789265700</v>
      </c>
      <c r="I456" s="22" t="str">
        <f t="shared" si="53"/>
        <v>-</v>
      </c>
      <c r="J456" s="19">
        <f t="shared" si="54"/>
        <v>-1.8957345971563981</v>
      </c>
      <c r="K456" s="19">
        <f t="shared" si="55"/>
        <v>-31.859628360265763</v>
      </c>
      <c r="L456" s="20" t="str">
        <f t="shared" si="50"/>
        <v>Normal</v>
      </c>
      <c r="M456" s="20" t="str">
        <f t="shared" si="51"/>
        <v>Normal</v>
      </c>
      <c r="N456" s="20" t="str">
        <f t="shared" si="52"/>
        <v>No</v>
      </c>
    </row>
    <row r="457" spans="1:14" x14ac:dyDescent="0.25">
      <c r="A457" s="15">
        <v>44125</v>
      </c>
      <c r="B457" s="16">
        <v>2020</v>
      </c>
      <c r="C457" s="17">
        <v>1050</v>
      </c>
      <c r="D457" s="17">
        <v>1145</v>
      </c>
      <c r="E457" s="17">
        <v>1050</v>
      </c>
      <c r="F457" s="17">
        <v>1100</v>
      </c>
      <c r="G457" s="17">
        <v>907.52</v>
      </c>
      <c r="H457" s="18">
        <v>1370011500</v>
      </c>
      <c r="I457" s="22" t="str">
        <f t="shared" si="53"/>
        <v>+</v>
      </c>
      <c r="J457" s="19">
        <f t="shared" si="54"/>
        <v>6.2801932367149762</v>
      </c>
      <c r="K457" s="19">
        <f t="shared" si="55"/>
        <v>73.580519209183919</v>
      </c>
      <c r="L457" s="20" t="str">
        <f t="shared" si="50"/>
        <v>Sharp Price Increase</v>
      </c>
      <c r="M457" s="20" t="str">
        <f t="shared" si="51"/>
        <v>Normal</v>
      </c>
      <c r="N457" s="20" t="str">
        <f t="shared" si="52"/>
        <v>No</v>
      </c>
    </row>
    <row r="458" spans="1:14" x14ac:dyDescent="0.25">
      <c r="A458" s="15">
        <v>44126</v>
      </c>
      <c r="B458" s="16">
        <v>2020</v>
      </c>
      <c r="C458" s="17">
        <v>1100</v>
      </c>
      <c r="D458" s="17">
        <v>1120</v>
      </c>
      <c r="E458" s="17">
        <v>1075</v>
      </c>
      <c r="F458" s="17">
        <v>1085</v>
      </c>
      <c r="G458" s="17">
        <v>895.15</v>
      </c>
      <c r="H458" s="18">
        <v>465407900</v>
      </c>
      <c r="I458" s="22" t="str">
        <f t="shared" si="53"/>
        <v>-</v>
      </c>
      <c r="J458" s="19">
        <f t="shared" si="54"/>
        <v>-1.3636363636363635</v>
      </c>
      <c r="K458" s="19">
        <f t="shared" si="55"/>
        <v>-66.028905596777847</v>
      </c>
      <c r="L458" s="20" t="str">
        <f t="shared" si="50"/>
        <v>Normal</v>
      </c>
      <c r="M458" s="20" t="str">
        <f t="shared" si="51"/>
        <v>Sharp Volume Decrease</v>
      </c>
      <c r="N458" s="20" t="str">
        <f t="shared" si="52"/>
        <v>No</v>
      </c>
    </row>
    <row r="459" spans="1:14" x14ac:dyDescent="0.25">
      <c r="A459" s="15">
        <v>44127</v>
      </c>
      <c r="B459" s="16">
        <v>2020</v>
      </c>
      <c r="C459" s="17">
        <v>1095</v>
      </c>
      <c r="D459" s="17">
        <v>1120</v>
      </c>
      <c r="E459" s="17">
        <v>1060</v>
      </c>
      <c r="F459" s="17">
        <v>1085</v>
      </c>
      <c r="G459" s="17">
        <v>895.15</v>
      </c>
      <c r="H459" s="18">
        <v>392722300</v>
      </c>
      <c r="I459" s="22" t="str">
        <f t="shared" si="53"/>
        <v>0</v>
      </c>
      <c r="J459" s="19">
        <f t="shared" si="54"/>
        <v>0</v>
      </c>
      <c r="K459" s="19">
        <f t="shared" si="55"/>
        <v>-15.617611991545481</v>
      </c>
      <c r="L459" s="20" t="str">
        <f t="shared" si="50"/>
        <v>Normal</v>
      </c>
      <c r="M459" s="20" t="str">
        <f t="shared" si="51"/>
        <v>Normal</v>
      </c>
      <c r="N459" s="20" t="str">
        <f t="shared" si="52"/>
        <v>No</v>
      </c>
    </row>
    <row r="460" spans="1:14" x14ac:dyDescent="0.25">
      <c r="A460" s="15">
        <v>44130</v>
      </c>
      <c r="B460" s="16">
        <v>2020</v>
      </c>
      <c r="C460" s="17">
        <v>1090</v>
      </c>
      <c r="D460" s="17">
        <v>1095</v>
      </c>
      <c r="E460" s="17">
        <v>1060</v>
      </c>
      <c r="F460" s="17">
        <v>1060</v>
      </c>
      <c r="G460" s="17">
        <v>874.52</v>
      </c>
      <c r="H460" s="18">
        <v>183290100</v>
      </c>
      <c r="I460" s="22" t="str">
        <f t="shared" si="53"/>
        <v>-</v>
      </c>
      <c r="J460" s="19">
        <f t="shared" si="54"/>
        <v>-2.3041474654377883</v>
      </c>
      <c r="K460" s="19">
        <f t="shared" si="55"/>
        <v>-53.328318763665827</v>
      </c>
      <c r="L460" s="20" t="str">
        <f t="shared" si="50"/>
        <v>Normal</v>
      </c>
      <c r="M460" s="20" t="str">
        <f t="shared" si="51"/>
        <v>Normal</v>
      </c>
      <c r="N460" s="20" t="str">
        <f t="shared" si="52"/>
        <v>No</v>
      </c>
    </row>
    <row r="461" spans="1:14" x14ac:dyDescent="0.25">
      <c r="A461" s="15">
        <v>44131</v>
      </c>
      <c r="B461" s="16">
        <v>2020</v>
      </c>
      <c r="C461" s="17">
        <v>1050</v>
      </c>
      <c r="D461" s="17">
        <v>1095</v>
      </c>
      <c r="E461" s="17">
        <v>1050</v>
      </c>
      <c r="F461" s="17">
        <v>1055</v>
      </c>
      <c r="G461" s="17">
        <v>870.4</v>
      </c>
      <c r="H461" s="18">
        <v>333734100</v>
      </c>
      <c r="I461" s="22" t="str">
        <f t="shared" si="53"/>
        <v>-</v>
      </c>
      <c r="J461" s="19">
        <f t="shared" si="54"/>
        <v>-0.47169811320754718</v>
      </c>
      <c r="K461" s="19">
        <f t="shared" si="55"/>
        <v>82.079719526586544</v>
      </c>
      <c r="L461" s="20" t="str">
        <f t="shared" si="50"/>
        <v>Normal</v>
      </c>
      <c r="M461" s="20" t="str">
        <f t="shared" si="51"/>
        <v>Normal</v>
      </c>
      <c r="N461" s="20" t="str">
        <f t="shared" si="52"/>
        <v>No</v>
      </c>
    </row>
    <row r="462" spans="1:14" x14ac:dyDescent="0.25">
      <c r="A462" s="15">
        <v>44137</v>
      </c>
      <c r="B462" s="16">
        <v>2020</v>
      </c>
      <c r="C462" s="17">
        <v>1065</v>
      </c>
      <c r="D462" s="17">
        <v>1125</v>
      </c>
      <c r="E462" s="17">
        <v>1055</v>
      </c>
      <c r="F462" s="17">
        <v>1100</v>
      </c>
      <c r="G462" s="17">
        <v>907.52</v>
      </c>
      <c r="H462" s="18">
        <v>571253300</v>
      </c>
      <c r="I462" s="22" t="str">
        <f t="shared" si="53"/>
        <v>+</v>
      </c>
      <c r="J462" s="19">
        <f t="shared" si="54"/>
        <v>4.2654028436018958</v>
      </c>
      <c r="K462" s="19">
        <f t="shared" si="55"/>
        <v>71.170192078064545</v>
      </c>
      <c r="L462" s="20" t="str">
        <f t="shared" si="50"/>
        <v>Normal</v>
      </c>
      <c r="M462" s="20" t="str">
        <f t="shared" si="51"/>
        <v>Normal</v>
      </c>
      <c r="N462" s="20" t="str">
        <f t="shared" si="52"/>
        <v>No</v>
      </c>
    </row>
    <row r="463" spans="1:14" x14ac:dyDescent="0.25">
      <c r="A463" s="15">
        <v>44138</v>
      </c>
      <c r="B463" s="16">
        <v>2020</v>
      </c>
      <c r="C463" s="17">
        <v>1115</v>
      </c>
      <c r="D463" s="17">
        <v>1130</v>
      </c>
      <c r="E463" s="17">
        <v>1105</v>
      </c>
      <c r="F463" s="17">
        <v>1110</v>
      </c>
      <c r="G463" s="17">
        <v>915.77</v>
      </c>
      <c r="H463" s="18">
        <v>317572700</v>
      </c>
      <c r="I463" s="22" t="str">
        <f t="shared" si="53"/>
        <v>+</v>
      </c>
      <c r="J463" s="19">
        <f t="shared" si="54"/>
        <v>0.90909090909090906</v>
      </c>
      <c r="K463" s="19">
        <f t="shared" si="55"/>
        <v>-44.407725959745001</v>
      </c>
      <c r="L463" s="20" t="str">
        <f t="shared" si="50"/>
        <v>Normal</v>
      </c>
      <c r="M463" s="20" t="str">
        <f t="shared" si="51"/>
        <v>Normal</v>
      </c>
      <c r="N463" s="20" t="str">
        <f t="shared" si="52"/>
        <v>No</v>
      </c>
    </row>
    <row r="464" spans="1:14" x14ac:dyDescent="0.25">
      <c r="A464" s="15">
        <v>44139</v>
      </c>
      <c r="B464" s="16">
        <v>2020</v>
      </c>
      <c r="C464" s="17">
        <v>1125</v>
      </c>
      <c r="D464" s="17">
        <v>1145</v>
      </c>
      <c r="E464" s="17">
        <v>1100</v>
      </c>
      <c r="F464" s="17">
        <v>1105</v>
      </c>
      <c r="G464" s="17">
        <v>911.65</v>
      </c>
      <c r="H464" s="18">
        <v>410216500</v>
      </c>
      <c r="I464" s="22" t="str">
        <f t="shared" si="53"/>
        <v>-</v>
      </c>
      <c r="J464" s="19">
        <f t="shared" si="54"/>
        <v>-0.45045045045045046</v>
      </c>
      <c r="K464" s="19">
        <f t="shared" si="55"/>
        <v>29.172469799828509</v>
      </c>
      <c r="L464" s="20" t="str">
        <f t="shared" si="50"/>
        <v>Normal</v>
      </c>
      <c r="M464" s="20" t="str">
        <f t="shared" si="51"/>
        <v>Normal</v>
      </c>
      <c r="N464" s="20" t="str">
        <f t="shared" si="52"/>
        <v>No</v>
      </c>
    </row>
    <row r="465" spans="1:14" x14ac:dyDescent="0.25">
      <c r="A465" s="15">
        <v>44140</v>
      </c>
      <c r="B465" s="16">
        <v>2020</v>
      </c>
      <c r="C465" s="17">
        <v>1130</v>
      </c>
      <c r="D465" s="17">
        <v>1145</v>
      </c>
      <c r="E465" s="17">
        <v>1115</v>
      </c>
      <c r="F465" s="17">
        <v>1125</v>
      </c>
      <c r="G465" s="17">
        <v>928.15</v>
      </c>
      <c r="H465" s="18">
        <v>240422000</v>
      </c>
      <c r="I465" s="22" t="str">
        <f t="shared" si="53"/>
        <v>+</v>
      </c>
      <c r="J465" s="19">
        <f t="shared" si="54"/>
        <v>1.809954751131222</v>
      </c>
      <c r="K465" s="19">
        <f t="shared" si="55"/>
        <v>-41.391435985631972</v>
      </c>
      <c r="L465" s="20" t="str">
        <f t="shared" si="50"/>
        <v>Normal</v>
      </c>
      <c r="M465" s="20" t="str">
        <f t="shared" si="51"/>
        <v>Normal</v>
      </c>
      <c r="N465" s="20" t="str">
        <f t="shared" si="52"/>
        <v>No</v>
      </c>
    </row>
    <row r="466" spans="1:14" x14ac:dyDescent="0.25">
      <c r="A466" s="15">
        <v>44141</v>
      </c>
      <c r="B466" s="16">
        <v>2020</v>
      </c>
      <c r="C466" s="17">
        <v>1140</v>
      </c>
      <c r="D466" s="17">
        <v>1140</v>
      </c>
      <c r="E466" s="17">
        <v>1115</v>
      </c>
      <c r="F466" s="17">
        <v>1125</v>
      </c>
      <c r="G466" s="17">
        <v>928.15</v>
      </c>
      <c r="H466" s="18">
        <v>202159600</v>
      </c>
      <c r="I466" s="22" t="str">
        <f t="shared" si="53"/>
        <v>0</v>
      </c>
      <c r="J466" s="19">
        <f t="shared" si="54"/>
        <v>0</v>
      </c>
      <c r="K466" s="19">
        <f t="shared" si="55"/>
        <v>-15.914683348445649</v>
      </c>
      <c r="L466" s="20" t="str">
        <f t="shared" si="50"/>
        <v>Normal</v>
      </c>
      <c r="M466" s="20" t="str">
        <f t="shared" si="51"/>
        <v>Normal</v>
      </c>
      <c r="N466" s="20" t="str">
        <f t="shared" si="52"/>
        <v>No</v>
      </c>
    </row>
    <row r="467" spans="1:14" x14ac:dyDescent="0.25">
      <c r="A467" s="15">
        <v>44144</v>
      </c>
      <c r="B467" s="16">
        <v>2020</v>
      </c>
      <c r="C467" s="17">
        <v>1140</v>
      </c>
      <c r="D467" s="17">
        <v>1245</v>
      </c>
      <c r="E467" s="17">
        <v>1135</v>
      </c>
      <c r="F467" s="17">
        <v>1240</v>
      </c>
      <c r="G467" s="17">
        <v>1023.03</v>
      </c>
      <c r="H467" s="18">
        <v>846313500</v>
      </c>
      <c r="I467" s="22" t="str">
        <f t="shared" si="53"/>
        <v>+</v>
      </c>
      <c r="J467" s="19">
        <f t="shared" si="54"/>
        <v>10.222222222222223</v>
      </c>
      <c r="K467" s="19">
        <f t="shared" si="55"/>
        <v>318.63631506987548</v>
      </c>
      <c r="L467" s="20" t="str">
        <f t="shared" si="50"/>
        <v>Sharp Price Increase</v>
      </c>
      <c r="M467" s="20" t="str">
        <f t="shared" si="51"/>
        <v>Sharp Volume Increase</v>
      </c>
      <c r="N467" s="21" t="str">
        <f t="shared" si="52"/>
        <v>Yes</v>
      </c>
    </row>
    <row r="468" spans="1:14" x14ac:dyDescent="0.25">
      <c r="A468" s="15">
        <v>44145</v>
      </c>
      <c r="B468" s="16">
        <v>2020</v>
      </c>
      <c r="C468" s="17">
        <v>1250</v>
      </c>
      <c r="D468" s="17">
        <v>1255</v>
      </c>
      <c r="E468" s="17">
        <v>1195</v>
      </c>
      <c r="F468" s="17">
        <v>1200</v>
      </c>
      <c r="G468" s="17">
        <v>990.02</v>
      </c>
      <c r="H468" s="18">
        <v>604934300</v>
      </c>
      <c r="I468" s="22" t="str">
        <f t="shared" si="53"/>
        <v>-</v>
      </c>
      <c r="J468" s="19">
        <f t="shared" si="54"/>
        <v>-3.225806451612903</v>
      </c>
      <c r="K468" s="19">
        <f t="shared" si="55"/>
        <v>-28.521251285723316</v>
      </c>
      <c r="L468" s="20" t="str">
        <f t="shared" si="50"/>
        <v>Normal</v>
      </c>
      <c r="M468" s="20" t="str">
        <f t="shared" si="51"/>
        <v>Normal</v>
      </c>
      <c r="N468" s="20" t="str">
        <f t="shared" si="52"/>
        <v>No</v>
      </c>
    </row>
    <row r="469" spans="1:14" x14ac:dyDescent="0.25">
      <c r="A469" s="15">
        <v>44146</v>
      </c>
      <c r="B469" s="16">
        <v>2020</v>
      </c>
      <c r="C469" s="17">
        <v>1210</v>
      </c>
      <c r="D469" s="17">
        <v>1240</v>
      </c>
      <c r="E469" s="17">
        <v>1185</v>
      </c>
      <c r="F469" s="17">
        <v>1195</v>
      </c>
      <c r="G469" s="17">
        <v>985.9</v>
      </c>
      <c r="H469" s="18">
        <v>628878500</v>
      </c>
      <c r="I469" s="22" t="str">
        <f t="shared" si="53"/>
        <v>-</v>
      </c>
      <c r="J469" s="19">
        <f t="shared" si="54"/>
        <v>-0.41666666666666669</v>
      </c>
      <c r="K469" s="19">
        <f t="shared" si="55"/>
        <v>3.9581488436016934</v>
      </c>
      <c r="L469" s="20" t="str">
        <f t="shared" si="50"/>
        <v>Normal</v>
      </c>
      <c r="M469" s="20" t="str">
        <f t="shared" si="51"/>
        <v>Normal</v>
      </c>
      <c r="N469" s="20" t="str">
        <f t="shared" si="52"/>
        <v>No</v>
      </c>
    </row>
    <row r="470" spans="1:14" x14ac:dyDescent="0.25">
      <c r="A470" s="15">
        <v>44147</v>
      </c>
      <c r="B470" s="16">
        <v>2020</v>
      </c>
      <c r="C470" s="17">
        <v>1190</v>
      </c>
      <c r="D470" s="17">
        <v>1205</v>
      </c>
      <c r="E470" s="17">
        <v>1165</v>
      </c>
      <c r="F470" s="17">
        <v>1170</v>
      </c>
      <c r="G470" s="17">
        <v>965.27</v>
      </c>
      <c r="H470" s="18">
        <v>200055900</v>
      </c>
      <c r="I470" s="22" t="str">
        <f t="shared" si="53"/>
        <v>-</v>
      </c>
      <c r="J470" s="19">
        <f t="shared" si="54"/>
        <v>-2.0920502092050208</v>
      </c>
      <c r="K470" s="19">
        <f t="shared" si="55"/>
        <v>-68.188465657515721</v>
      </c>
      <c r="L470" s="20" t="str">
        <f t="shared" si="50"/>
        <v>Normal</v>
      </c>
      <c r="M470" s="20" t="str">
        <f t="shared" si="51"/>
        <v>Sharp Volume Decrease</v>
      </c>
      <c r="N470" s="20" t="str">
        <f t="shared" si="52"/>
        <v>No</v>
      </c>
    </row>
    <row r="471" spans="1:14" x14ac:dyDescent="0.25">
      <c r="A471" s="15">
        <v>44148</v>
      </c>
      <c r="B471" s="16">
        <v>2020</v>
      </c>
      <c r="C471" s="17">
        <v>1160</v>
      </c>
      <c r="D471" s="17">
        <v>1180</v>
      </c>
      <c r="E471" s="17">
        <v>1155</v>
      </c>
      <c r="F471" s="17">
        <v>1170</v>
      </c>
      <c r="G471" s="17">
        <v>965.27</v>
      </c>
      <c r="H471" s="18">
        <v>172842400</v>
      </c>
      <c r="I471" s="22" t="str">
        <f t="shared" si="53"/>
        <v>0</v>
      </c>
      <c r="J471" s="19">
        <f t="shared" si="54"/>
        <v>0</v>
      </c>
      <c r="K471" s="19">
        <f t="shared" si="55"/>
        <v>-13.602947976040697</v>
      </c>
      <c r="L471" s="20" t="str">
        <f t="shared" si="50"/>
        <v>Normal</v>
      </c>
      <c r="M471" s="20" t="str">
        <f t="shared" si="51"/>
        <v>Normal</v>
      </c>
      <c r="N471" s="20" t="str">
        <f t="shared" si="52"/>
        <v>No</v>
      </c>
    </row>
    <row r="472" spans="1:14" x14ac:dyDescent="0.25">
      <c r="A472" s="15">
        <v>44151</v>
      </c>
      <c r="B472" s="16">
        <v>2020</v>
      </c>
      <c r="C472" s="17">
        <v>1200</v>
      </c>
      <c r="D472" s="17">
        <v>1210</v>
      </c>
      <c r="E472" s="17">
        <v>1180</v>
      </c>
      <c r="F472" s="17">
        <v>1185</v>
      </c>
      <c r="G472" s="17">
        <v>977.65</v>
      </c>
      <c r="H472" s="18">
        <v>213486900</v>
      </c>
      <c r="I472" s="22" t="str">
        <f t="shared" si="53"/>
        <v>+</v>
      </c>
      <c r="J472" s="19">
        <f t="shared" si="54"/>
        <v>1.2820512820512819</v>
      </c>
      <c r="K472" s="19">
        <f t="shared" si="55"/>
        <v>23.515352714380267</v>
      </c>
      <c r="L472" s="20" t="str">
        <f t="shared" si="50"/>
        <v>Normal</v>
      </c>
      <c r="M472" s="20" t="str">
        <f t="shared" si="51"/>
        <v>Normal</v>
      </c>
      <c r="N472" s="20" t="str">
        <f t="shared" si="52"/>
        <v>No</v>
      </c>
    </row>
    <row r="473" spans="1:14" x14ac:dyDescent="0.25">
      <c r="A473" s="15">
        <v>44152</v>
      </c>
      <c r="B473" s="16">
        <v>2020</v>
      </c>
      <c r="C473" s="17">
        <v>1185</v>
      </c>
      <c r="D473" s="17">
        <v>1215</v>
      </c>
      <c r="E473" s="17">
        <v>1175</v>
      </c>
      <c r="F473" s="17">
        <v>1190</v>
      </c>
      <c r="G473" s="17">
        <v>981.77</v>
      </c>
      <c r="H473" s="18">
        <v>300731400</v>
      </c>
      <c r="I473" s="22" t="str">
        <f t="shared" si="53"/>
        <v>+</v>
      </c>
      <c r="J473" s="19">
        <f t="shared" si="54"/>
        <v>0.42194092827004215</v>
      </c>
      <c r="K473" s="19">
        <f t="shared" si="55"/>
        <v>40.866441922197566</v>
      </c>
      <c r="L473" s="20" t="str">
        <f t="shared" si="50"/>
        <v>Normal</v>
      </c>
      <c r="M473" s="20" t="str">
        <f t="shared" si="51"/>
        <v>Normal</v>
      </c>
      <c r="N473" s="20" t="str">
        <f t="shared" si="52"/>
        <v>No</v>
      </c>
    </row>
    <row r="474" spans="1:14" x14ac:dyDescent="0.25">
      <c r="A474" s="15">
        <v>44153</v>
      </c>
      <c r="B474" s="16">
        <v>2020</v>
      </c>
      <c r="C474" s="17">
        <v>1220</v>
      </c>
      <c r="D474" s="17">
        <v>1280</v>
      </c>
      <c r="E474" s="17">
        <v>1215</v>
      </c>
      <c r="F474" s="17">
        <v>1240</v>
      </c>
      <c r="G474" s="17">
        <v>1023.03</v>
      </c>
      <c r="H474" s="18">
        <v>853419900</v>
      </c>
      <c r="I474" s="22" t="str">
        <f t="shared" si="53"/>
        <v>+</v>
      </c>
      <c r="J474" s="19">
        <f t="shared" si="54"/>
        <v>4.2016806722689077</v>
      </c>
      <c r="K474" s="19">
        <f t="shared" si="55"/>
        <v>183.78144084721447</v>
      </c>
      <c r="L474" s="20" t="str">
        <f t="shared" si="50"/>
        <v>Normal</v>
      </c>
      <c r="M474" s="20" t="str">
        <f t="shared" si="51"/>
        <v>Sharp Volume Increase</v>
      </c>
      <c r="N474" s="20" t="str">
        <f t="shared" si="52"/>
        <v>No</v>
      </c>
    </row>
    <row r="475" spans="1:14" x14ac:dyDescent="0.25">
      <c r="A475" s="15">
        <v>44154</v>
      </c>
      <c r="B475" s="16">
        <v>2020</v>
      </c>
      <c r="C475" s="17">
        <v>1240</v>
      </c>
      <c r="D475" s="17">
        <v>1245</v>
      </c>
      <c r="E475" s="17">
        <v>1220</v>
      </c>
      <c r="F475" s="17">
        <v>1235</v>
      </c>
      <c r="G475" s="17">
        <v>1018.9</v>
      </c>
      <c r="H475" s="18">
        <v>286394100</v>
      </c>
      <c r="I475" s="22" t="str">
        <f t="shared" si="53"/>
        <v>-</v>
      </c>
      <c r="J475" s="19">
        <f t="shared" si="54"/>
        <v>-0.40322580645161288</v>
      </c>
      <c r="K475" s="19">
        <f t="shared" si="55"/>
        <v>-66.441595749056233</v>
      </c>
      <c r="L475" s="20" t="str">
        <f t="shared" si="50"/>
        <v>Normal</v>
      </c>
      <c r="M475" s="20" t="str">
        <f t="shared" si="51"/>
        <v>Sharp Volume Decrease</v>
      </c>
      <c r="N475" s="20" t="str">
        <f t="shared" si="52"/>
        <v>No</v>
      </c>
    </row>
    <row r="476" spans="1:14" x14ac:dyDescent="0.25">
      <c r="A476" s="15">
        <v>44155</v>
      </c>
      <c r="B476" s="16">
        <v>2020</v>
      </c>
      <c r="C476" s="17">
        <v>1235</v>
      </c>
      <c r="D476" s="17">
        <v>1240</v>
      </c>
      <c r="E476" s="17">
        <v>1200</v>
      </c>
      <c r="F476" s="17">
        <v>1210</v>
      </c>
      <c r="G476" s="17">
        <v>998.27</v>
      </c>
      <c r="H476" s="18">
        <v>220936900</v>
      </c>
      <c r="I476" s="22" t="str">
        <f t="shared" si="53"/>
        <v>-</v>
      </c>
      <c r="J476" s="19">
        <f t="shared" si="54"/>
        <v>-2.0242914979757085</v>
      </c>
      <c r="K476" s="19">
        <f t="shared" si="55"/>
        <v>-22.85563843668567</v>
      </c>
      <c r="L476" s="20" t="str">
        <f t="shared" si="50"/>
        <v>Normal</v>
      </c>
      <c r="M476" s="20" t="str">
        <f t="shared" si="51"/>
        <v>Normal</v>
      </c>
      <c r="N476" s="20" t="str">
        <f t="shared" si="52"/>
        <v>No</v>
      </c>
    </row>
    <row r="477" spans="1:14" x14ac:dyDescent="0.25">
      <c r="A477" s="15">
        <v>44158</v>
      </c>
      <c r="B477" s="16">
        <v>2020</v>
      </c>
      <c r="C477" s="17">
        <v>1225</v>
      </c>
      <c r="D477" s="17">
        <v>1255</v>
      </c>
      <c r="E477" s="17">
        <v>1215</v>
      </c>
      <c r="F477" s="17">
        <v>1255</v>
      </c>
      <c r="G477" s="17">
        <v>1035.4000000000001</v>
      </c>
      <c r="H477" s="18">
        <v>371401400</v>
      </c>
      <c r="I477" s="22" t="str">
        <f t="shared" si="53"/>
        <v>+</v>
      </c>
      <c r="J477" s="19">
        <f t="shared" si="54"/>
        <v>3.71900826446281</v>
      </c>
      <c r="K477" s="19">
        <f t="shared" si="55"/>
        <v>68.102928935818326</v>
      </c>
      <c r="L477" s="20" t="str">
        <f t="shared" si="50"/>
        <v>Normal</v>
      </c>
      <c r="M477" s="20" t="str">
        <f t="shared" si="51"/>
        <v>Normal</v>
      </c>
      <c r="N477" s="20" t="str">
        <f t="shared" si="52"/>
        <v>No</v>
      </c>
    </row>
    <row r="478" spans="1:14" x14ac:dyDescent="0.25">
      <c r="A478" s="15">
        <v>44159</v>
      </c>
      <c r="B478" s="16">
        <v>2020</v>
      </c>
      <c r="C478" s="17">
        <v>1255</v>
      </c>
      <c r="D478" s="17">
        <v>1255</v>
      </c>
      <c r="E478" s="17">
        <v>1220</v>
      </c>
      <c r="F478" s="17">
        <v>1235</v>
      </c>
      <c r="G478" s="17">
        <v>1018.9</v>
      </c>
      <c r="H478" s="18">
        <v>351292500</v>
      </c>
      <c r="I478" s="22" t="str">
        <f t="shared" si="53"/>
        <v>-</v>
      </c>
      <c r="J478" s="19">
        <f t="shared" si="54"/>
        <v>-1.593625498007968</v>
      </c>
      <c r="K478" s="19">
        <f t="shared" si="55"/>
        <v>-5.4143306944992666</v>
      </c>
      <c r="L478" s="20" t="str">
        <f t="shared" si="50"/>
        <v>Normal</v>
      </c>
      <c r="M478" s="20" t="str">
        <f t="shared" si="51"/>
        <v>Normal</v>
      </c>
      <c r="N478" s="20" t="str">
        <f t="shared" si="52"/>
        <v>No</v>
      </c>
    </row>
    <row r="479" spans="1:14" x14ac:dyDescent="0.25">
      <c r="A479" s="15">
        <v>44160</v>
      </c>
      <c r="B479" s="16">
        <v>2020</v>
      </c>
      <c r="C479" s="17">
        <v>1235</v>
      </c>
      <c r="D479" s="17">
        <v>1240</v>
      </c>
      <c r="E479" s="17">
        <v>1195</v>
      </c>
      <c r="F479" s="17">
        <v>1205</v>
      </c>
      <c r="G479" s="17">
        <v>994.15</v>
      </c>
      <c r="H479" s="18">
        <v>303117600</v>
      </c>
      <c r="I479" s="22" t="str">
        <f t="shared" si="53"/>
        <v>-</v>
      </c>
      <c r="J479" s="19">
        <f t="shared" si="54"/>
        <v>-2.42914979757085</v>
      </c>
      <c r="K479" s="19">
        <f t="shared" si="55"/>
        <v>-13.713614722773757</v>
      </c>
      <c r="L479" s="20" t="str">
        <f t="shared" si="50"/>
        <v>Normal</v>
      </c>
      <c r="M479" s="20" t="str">
        <f t="shared" si="51"/>
        <v>Normal</v>
      </c>
      <c r="N479" s="20" t="str">
        <f t="shared" si="52"/>
        <v>No</v>
      </c>
    </row>
    <row r="480" spans="1:14" x14ac:dyDescent="0.25">
      <c r="A480" s="15">
        <v>44161</v>
      </c>
      <c r="B480" s="16">
        <v>2020</v>
      </c>
      <c r="C480" s="17">
        <v>1200</v>
      </c>
      <c r="D480" s="17">
        <v>1225</v>
      </c>
      <c r="E480" s="17">
        <v>1195</v>
      </c>
      <c r="F480" s="17">
        <v>1210</v>
      </c>
      <c r="G480" s="17">
        <v>998.27</v>
      </c>
      <c r="H480" s="18">
        <v>147126800</v>
      </c>
      <c r="I480" s="22" t="str">
        <f t="shared" si="53"/>
        <v>+</v>
      </c>
      <c r="J480" s="19">
        <f t="shared" si="54"/>
        <v>0.41493775933609961</v>
      </c>
      <c r="K480" s="19">
        <f t="shared" si="55"/>
        <v>-51.462138787058223</v>
      </c>
      <c r="L480" s="20" t="str">
        <f t="shared" si="50"/>
        <v>Normal</v>
      </c>
      <c r="M480" s="20" t="str">
        <f t="shared" si="51"/>
        <v>Normal</v>
      </c>
      <c r="N480" s="20" t="str">
        <f t="shared" si="52"/>
        <v>No</v>
      </c>
    </row>
    <row r="481" spans="1:14" x14ac:dyDescent="0.25">
      <c r="A481" s="15">
        <v>44162</v>
      </c>
      <c r="B481" s="16">
        <v>2020</v>
      </c>
      <c r="C481" s="17">
        <v>1230</v>
      </c>
      <c r="D481" s="17">
        <v>1250</v>
      </c>
      <c r="E481" s="17">
        <v>1215</v>
      </c>
      <c r="F481" s="17">
        <v>1230</v>
      </c>
      <c r="G481" s="17">
        <v>1014.77</v>
      </c>
      <c r="H481" s="18">
        <v>308954300</v>
      </c>
      <c r="I481" s="22" t="str">
        <f t="shared" si="53"/>
        <v>+</v>
      </c>
      <c r="J481" s="19">
        <f t="shared" si="54"/>
        <v>1.6528925619834711</v>
      </c>
      <c r="K481" s="19">
        <f t="shared" si="55"/>
        <v>109.99185736385213</v>
      </c>
      <c r="L481" s="20" t="str">
        <f t="shared" si="50"/>
        <v>Normal</v>
      </c>
      <c r="M481" s="20" t="str">
        <f t="shared" si="51"/>
        <v>Normal</v>
      </c>
      <c r="N481" s="20" t="str">
        <f t="shared" si="52"/>
        <v>No</v>
      </c>
    </row>
    <row r="482" spans="1:14" x14ac:dyDescent="0.25">
      <c r="A482" s="15">
        <v>44165</v>
      </c>
      <c r="B482" s="16">
        <v>2020</v>
      </c>
      <c r="C482" s="17">
        <v>1225</v>
      </c>
      <c r="D482" s="17">
        <v>1225</v>
      </c>
      <c r="E482" s="17">
        <v>1145</v>
      </c>
      <c r="F482" s="17">
        <v>1145</v>
      </c>
      <c r="G482" s="17">
        <v>944.65</v>
      </c>
      <c r="H482" s="18">
        <v>446062400</v>
      </c>
      <c r="I482" s="22" t="str">
        <f t="shared" si="53"/>
        <v>-</v>
      </c>
      <c r="J482" s="19">
        <f t="shared" si="54"/>
        <v>-6.9105691056910574</v>
      </c>
      <c r="K482" s="19">
        <f t="shared" si="55"/>
        <v>44.378116763547233</v>
      </c>
      <c r="L482" s="20" t="str">
        <f t="shared" si="50"/>
        <v>Sharp Price Decrease</v>
      </c>
      <c r="M482" s="20" t="str">
        <f t="shared" si="51"/>
        <v>Normal</v>
      </c>
      <c r="N482" s="20" t="str">
        <f t="shared" si="52"/>
        <v>No</v>
      </c>
    </row>
    <row r="483" spans="1:14" x14ac:dyDescent="0.25">
      <c r="A483" s="15">
        <v>44166</v>
      </c>
      <c r="B483" s="16">
        <v>2020</v>
      </c>
      <c r="C483" s="17">
        <v>1150</v>
      </c>
      <c r="D483" s="17">
        <v>1180</v>
      </c>
      <c r="E483" s="17">
        <v>1105</v>
      </c>
      <c r="F483" s="17">
        <v>1155</v>
      </c>
      <c r="G483" s="17">
        <v>952.9</v>
      </c>
      <c r="H483" s="18">
        <v>240765000</v>
      </c>
      <c r="I483" s="22" t="str">
        <f t="shared" si="53"/>
        <v>+</v>
      </c>
      <c r="J483" s="19">
        <f t="shared" si="54"/>
        <v>0.87336244541484709</v>
      </c>
      <c r="K483" s="19">
        <f t="shared" si="55"/>
        <v>-46.024367891129131</v>
      </c>
      <c r="L483" s="20" t="str">
        <f t="shared" si="50"/>
        <v>Normal</v>
      </c>
      <c r="M483" s="20" t="str">
        <f t="shared" si="51"/>
        <v>Normal</v>
      </c>
      <c r="N483" s="20" t="str">
        <f t="shared" si="52"/>
        <v>No</v>
      </c>
    </row>
    <row r="484" spans="1:14" x14ac:dyDescent="0.25">
      <c r="A484" s="15">
        <v>44167</v>
      </c>
      <c r="B484" s="16">
        <v>2020</v>
      </c>
      <c r="C484" s="17">
        <v>1170</v>
      </c>
      <c r="D484" s="17">
        <v>1260</v>
      </c>
      <c r="E484" s="17">
        <v>1170</v>
      </c>
      <c r="F484" s="17">
        <v>1245</v>
      </c>
      <c r="G484" s="17">
        <v>1027.1500000000001</v>
      </c>
      <c r="H484" s="18">
        <v>803420400</v>
      </c>
      <c r="I484" s="22" t="str">
        <f t="shared" si="53"/>
        <v>+</v>
      </c>
      <c r="J484" s="19">
        <f t="shared" si="54"/>
        <v>7.7922077922077921</v>
      </c>
      <c r="K484" s="19">
        <f t="shared" si="55"/>
        <v>233.69484767304218</v>
      </c>
      <c r="L484" s="20" t="str">
        <f t="shared" si="50"/>
        <v>Sharp Price Increase</v>
      </c>
      <c r="M484" s="20" t="str">
        <f t="shared" si="51"/>
        <v>Sharp Volume Increase</v>
      </c>
      <c r="N484" s="21" t="str">
        <f t="shared" si="52"/>
        <v>Yes</v>
      </c>
    </row>
    <row r="485" spans="1:14" x14ac:dyDescent="0.25">
      <c r="A485" s="15">
        <v>44168</v>
      </c>
      <c r="B485" s="16">
        <v>2020</v>
      </c>
      <c r="C485" s="17">
        <v>1245</v>
      </c>
      <c r="D485" s="17">
        <v>1300</v>
      </c>
      <c r="E485" s="17">
        <v>1235</v>
      </c>
      <c r="F485" s="17">
        <v>1255</v>
      </c>
      <c r="G485" s="17">
        <v>1035.4000000000001</v>
      </c>
      <c r="H485" s="18">
        <v>615002200</v>
      </c>
      <c r="I485" s="22" t="str">
        <f t="shared" si="53"/>
        <v>+</v>
      </c>
      <c r="J485" s="19">
        <f t="shared" si="54"/>
        <v>0.80321285140562237</v>
      </c>
      <c r="K485" s="19">
        <f t="shared" si="55"/>
        <v>-23.452005948566903</v>
      </c>
      <c r="L485" s="20" t="str">
        <f t="shared" si="50"/>
        <v>Normal</v>
      </c>
      <c r="M485" s="20" t="str">
        <f t="shared" si="51"/>
        <v>Normal</v>
      </c>
      <c r="N485" s="20" t="str">
        <f t="shared" si="52"/>
        <v>No</v>
      </c>
    </row>
    <row r="486" spans="1:14" x14ac:dyDescent="0.25">
      <c r="A486" s="15">
        <v>44169</v>
      </c>
      <c r="B486" s="16">
        <v>2020</v>
      </c>
      <c r="C486" s="17">
        <v>1265</v>
      </c>
      <c r="D486" s="17">
        <v>1270</v>
      </c>
      <c r="E486" s="17">
        <v>1235</v>
      </c>
      <c r="F486" s="17">
        <v>1245</v>
      </c>
      <c r="G486" s="17">
        <v>1027.1500000000001</v>
      </c>
      <c r="H486" s="18">
        <v>155578400</v>
      </c>
      <c r="I486" s="22" t="str">
        <f t="shared" si="53"/>
        <v>-</v>
      </c>
      <c r="J486" s="19">
        <f t="shared" si="54"/>
        <v>-0.79681274900398402</v>
      </c>
      <c r="K486" s="19">
        <f t="shared" si="55"/>
        <v>-74.702789681077562</v>
      </c>
      <c r="L486" s="20" t="str">
        <f t="shared" si="50"/>
        <v>Normal</v>
      </c>
      <c r="M486" s="20" t="str">
        <f t="shared" si="51"/>
        <v>Sharp Volume Decrease</v>
      </c>
      <c r="N486" s="20" t="str">
        <f t="shared" si="52"/>
        <v>No</v>
      </c>
    </row>
    <row r="487" spans="1:14" x14ac:dyDescent="0.25">
      <c r="A487" s="15">
        <v>44172</v>
      </c>
      <c r="B487" s="16">
        <v>2020</v>
      </c>
      <c r="C487" s="17">
        <v>1270</v>
      </c>
      <c r="D487" s="17">
        <v>1295</v>
      </c>
      <c r="E487" s="17">
        <v>1260</v>
      </c>
      <c r="F487" s="17">
        <v>1280</v>
      </c>
      <c r="G487" s="17">
        <v>1056.03</v>
      </c>
      <c r="H487" s="18">
        <v>367250700</v>
      </c>
      <c r="I487" s="22" t="str">
        <f t="shared" si="53"/>
        <v>+</v>
      </c>
      <c r="J487" s="19">
        <f t="shared" si="54"/>
        <v>2.8112449799196786</v>
      </c>
      <c r="K487" s="19">
        <f t="shared" si="55"/>
        <v>136.05506934124531</v>
      </c>
      <c r="L487" s="20" t="str">
        <f t="shared" si="50"/>
        <v>Normal</v>
      </c>
      <c r="M487" s="20" t="str">
        <f t="shared" si="51"/>
        <v>Normal</v>
      </c>
      <c r="N487" s="20" t="str">
        <f t="shared" si="52"/>
        <v>No</v>
      </c>
    </row>
    <row r="488" spans="1:14" x14ac:dyDescent="0.25">
      <c r="A488" s="15">
        <v>44173</v>
      </c>
      <c r="B488" s="16">
        <v>2020</v>
      </c>
      <c r="C488" s="17">
        <v>1295</v>
      </c>
      <c r="D488" s="17">
        <v>1320</v>
      </c>
      <c r="E488" s="17">
        <v>1285</v>
      </c>
      <c r="F488" s="17">
        <v>1300</v>
      </c>
      <c r="G488" s="17">
        <v>1072.53</v>
      </c>
      <c r="H488" s="18">
        <v>377826500</v>
      </c>
      <c r="I488" s="22" t="str">
        <f t="shared" si="53"/>
        <v>+</v>
      </c>
      <c r="J488" s="19">
        <f t="shared" si="54"/>
        <v>1.5625</v>
      </c>
      <c r="K488" s="19">
        <f t="shared" si="55"/>
        <v>2.8797222170032626</v>
      </c>
      <c r="L488" s="20" t="str">
        <f t="shared" si="50"/>
        <v>Normal</v>
      </c>
      <c r="M488" s="20" t="str">
        <f t="shared" si="51"/>
        <v>Normal</v>
      </c>
      <c r="N488" s="20" t="str">
        <f t="shared" si="52"/>
        <v>No</v>
      </c>
    </row>
    <row r="489" spans="1:14" x14ac:dyDescent="0.25">
      <c r="A489" s="15">
        <v>44175</v>
      </c>
      <c r="B489" s="16">
        <v>2020</v>
      </c>
      <c r="C489" s="17">
        <v>1330</v>
      </c>
      <c r="D489" s="17">
        <v>1425</v>
      </c>
      <c r="E489" s="17">
        <v>1330</v>
      </c>
      <c r="F489" s="17">
        <v>1395</v>
      </c>
      <c r="G489" s="17">
        <v>1150.9000000000001</v>
      </c>
      <c r="H489" s="18">
        <v>686885600</v>
      </c>
      <c r="I489" s="22" t="str">
        <f t="shared" si="53"/>
        <v>+</v>
      </c>
      <c r="J489" s="19">
        <f t="shared" si="54"/>
        <v>7.3076923076923084</v>
      </c>
      <c r="K489" s="19">
        <f t="shared" si="55"/>
        <v>81.799212072207752</v>
      </c>
      <c r="L489" s="20" t="str">
        <f t="shared" si="50"/>
        <v>Sharp Price Increase</v>
      </c>
      <c r="M489" s="20" t="str">
        <f t="shared" si="51"/>
        <v>Normal</v>
      </c>
      <c r="N489" s="20" t="str">
        <f t="shared" si="52"/>
        <v>No</v>
      </c>
    </row>
    <row r="490" spans="1:14" x14ac:dyDescent="0.25">
      <c r="A490" s="15">
        <v>44176</v>
      </c>
      <c r="B490" s="16">
        <v>2020</v>
      </c>
      <c r="C490" s="17">
        <v>1475</v>
      </c>
      <c r="D490" s="17">
        <v>1500</v>
      </c>
      <c r="E490" s="17">
        <v>1435</v>
      </c>
      <c r="F490" s="17">
        <v>1450</v>
      </c>
      <c r="G490" s="17">
        <v>1196.28</v>
      </c>
      <c r="H490" s="18">
        <v>487755900</v>
      </c>
      <c r="I490" s="22" t="str">
        <f t="shared" si="53"/>
        <v>+</v>
      </c>
      <c r="J490" s="19">
        <f t="shared" si="54"/>
        <v>3.9426523297491038</v>
      </c>
      <c r="K490" s="19">
        <f t="shared" si="55"/>
        <v>-28.990227775920761</v>
      </c>
      <c r="L490" s="20" t="str">
        <f t="shared" si="50"/>
        <v>Normal</v>
      </c>
      <c r="M490" s="20" t="str">
        <f t="shared" si="51"/>
        <v>Normal</v>
      </c>
      <c r="N490" s="20" t="str">
        <f t="shared" si="52"/>
        <v>No</v>
      </c>
    </row>
    <row r="491" spans="1:14" x14ac:dyDescent="0.25">
      <c r="A491" s="15">
        <v>44179</v>
      </c>
      <c r="B491" s="16">
        <v>2020</v>
      </c>
      <c r="C491" s="17">
        <v>1500</v>
      </c>
      <c r="D491" s="17">
        <v>1540</v>
      </c>
      <c r="E491" s="17">
        <v>1490</v>
      </c>
      <c r="F491" s="17">
        <v>1525</v>
      </c>
      <c r="G491" s="17">
        <v>1258.1600000000001</v>
      </c>
      <c r="H491" s="18">
        <v>417804400</v>
      </c>
      <c r="I491" s="22" t="str">
        <f t="shared" si="53"/>
        <v>+</v>
      </c>
      <c r="J491" s="19">
        <f t="shared" si="54"/>
        <v>5.1724137931034484</v>
      </c>
      <c r="K491" s="19">
        <f t="shared" si="55"/>
        <v>-14.341497458052277</v>
      </c>
      <c r="L491" s="20" t="str">
        <f t="shared" si="50"/>
        <v>Normal</v>
      </c>
      <c r="M491" s="20" t="str">
        <f t="shared" si="51"/>
        <v>Normal</v>
      </c>
      <c r="N491" s="20" t="str">
        <f t="shared" si="52"/>
        <v>No</v>
      </c>
    </row>
    <row r="492" spans="1:14" x14ac:dyDescent="0.25">
      <c r="A492" s="15">
        <v>44180</v>
      </c>
      <c r="B492" s="16">
        <v>2020</v>
      </c>
      <c r="C492" s="17">
        <v>1525</v>
      </c>
      <c r="D492" s="17">
        <v>1565</v>
      </c>
      <c r="E492" s="17">
        <v>1495</v>
      </c>
      <c r="F492" s="17">
        <v>1560</v>
      </c>
      <c r="G492" s="17">
        <v>1287.03</v>
      </c>
      <c r="H492" s="18">
        <v>462918300</v>
      </c>
      <c r="I492" s="22" t="str">
        <f t="shared" si="53"/>
        <v>+</v>
      </c>
      <c r="J492" s="19">
        <f t="shared" si="54"/>
        <v>2.2950819672131146</v>
      </c>
      <c r="K492" s="19">
        <f t="shared" si="55"/>
        <v>10.79785181774055</v>
      </c>
      <c r="L492" s="20" t="str">
        <f t="shared" si="50"/>
        <v>Normal</v>
      </c>
      <c r="M492" s="20" t="str">
        <f t="shared" si="51"/>
        <v>Normal</v>
      </c>
      <c r="N492" s="20" t="str">
        <f t="shared" si="52"/>
        <v>No</v>
      </c>
    </row>
    <row r="493" spans="1:14" x14ac:dyDescent="0.25">
      <c r="A493" s="15">
        <v>44181</v>
      </c>
      <c r="B493" s="16">
        <v>2020</v>
      </c>
      <c r="C493" s="17">
        <v>1595</v>
      </c>
      <c r="D493" s="17">
        <v>1925</v>
      </c>
      <c r="E493" s="17">
        <v>1590</v>
      </c>
      <c r="F493" s="17">
        <v>1815</v>
      </c>
      <c r="G493" s="17">
        <v>1497.41</v>
      </c>
      <c r="H493" s="18">
        <v>1272844700</v>
      </c>
      <c r="I493" s="22" t="str">
        <f t="shared" si="53"/>
        <v>+</v>
      </c>
      <c r="J493" s="19">
        <f t="shared" si="54"/>
        <v>16.346153846153847</v>
      </c>
      <c r="K493" s="19">
        <f t="shared" si="55"/>
        <v>174.96098123578179</v>
      </c>
      <c r="L493" s="20" t="str">
        <f t="shared" si="50"/>
        <v>Sharp Price Increase</v>
      </c>
      <c r="M493" s="20" t="str">
        <f t="shared" si="51"/>
        <v>Sharp Volume Increase</v>
      </c>
      <c r="N493" s="21" t="str">
        <f t="shared" si="52"/>
        <v>Yes</v>
      </c>
    </row>
    <row r="494" spans="1:14" x14ac:dyDescent="0.25">
      <c r="A494" s="15">
        <v>44182</v>
      </c>
      <c r="B494" s="16">
        <v>2020</v>
      </c>
      <c r="C494" s="17">
        <v>1840</v>
      </c>
      <c r="D494" s="17">
        <v>1880</v>
      </c>
      <c r="E494" s="17">
        <v>1775</v>
      </c>
      <c r="F494" s="17">
        <v>1815</v>
      </c>
      <c r="G494" s="17">
        <v>1497.41</v>
      </c>
      <c r="H494" s="18">
        <v>542949200</v>
      </c>
      <c r="I494" s="22" t="str">
        <f t="shared" si="53"/>
        <v>0</v>
      </c>
      <c r="J494" s="19">
        <f t="shared" si="54"/>
        <v>0</v>
      </c>
      <c r="K494" s="19">
        <f t="shared" si="55"/>
        <v>-57.343641372745637</v>
      </c>
      <c r="L494" s="20" t="str">
        <f t="shared" si="50"/>
        <v>Normal</v>
      </c>
      <c r="M494" s="20" t="str">
        <f t="shared" si="51"/>
        <v>Sharp Volume Decrease</v>
      </c>
      <c r="N494" s="20" t="str">
        <f t="shared" si="52"/>
        <v>No</v>
      </c>
    </row>
    <row r="495" spans="1:14" x14ac:dyDescent="0.25">
      <c r="A495" s="15">
        <v>44183</v>
      </c>
      <c r="B495" s="16">
        <v>2020</v>
      </c>
      <c r="C495" s="17">
        <v>1845</v>
      </c>
      <c r="D495" s="17">
        <v>1960</v>
      </c>
      <c r="E495" s="17">
        <v>1810</v>
      </c>
      <c r="F495" s="17">
        <v>1950</v>
      </c>
      <c r="G495" s="17">
        <v>1608.79</v>
      </c>
      <c r="H495" s="18">
        <v>1083731700</v>
      </c>
      <c r="I495" s="22" t="str">
        <f t="shared" si="53"/>
        <v>+</v>
      </c>
      <c r="J495" s="19">
        <f t="shared" si="54"/>
        <v>7.4380165289256199</v>
      </c>
      <c r="K495" s="19">
        <f t="shared" si="55"/>
        <v>99.60093872502253</v>
      </c>
      <c r="L495" s="20" t="str">
        <f t="shared" si="50"/>
        <v>Sharp Price Increase</v>
      </c>
      <c r="M495" s="20" t="str">
        <f t="shared" si="51"/>
        <v>Normal</v>
      </c>
      <c r="N495" s="20" t="str">
        <f t="shared" si="52"/>
        <v>No</v>
      </c>
    </row>
    <row r="496" spans="1:14" x14ac:dyDescent="0.25">
      <c r="A496" s="15">
        <v>44186</v>
      </c>
      <c r="B496" s="16">
        <v>2020</v>
      </c>
      <c r="C496" s="17">
        <v>1965</v>
      </c>
      <c r="D496" s="17">
        <v>2020</v>
      </c>
      <c r="E496" s="17">
        <v>1925</v>
      </c>
      <c r="F496" s="17">
        <v>1965</v>
      </c>
      <c r="G496" s="17">
        <v>1621.16</v>
      </c>
      <c r="H496" s="18">
        <v>627035000</v>
      </c>
      <c r="I496" s="22" t="str">
        <f t="shared" si="53"/>
        <v>+</v>
      </c>
      <c r="J496" s="19">
        <f t="shared" si="54"/>
        <v>0.76923076923076927</v>
      </c>
      <c r="K496" s="19">
        <f t="shared" si="55"/>
        <v>-42.141122198418671</v>
      </c>
      <c r="L496" s="20" t="str">
        <f t="shared" si="50"/>
        <v>Normal</v>
      </c>
      <c r="M496" s="20" t="str">
        <f t="shared" si="51"/>
        <v>Normal</v>
      </c>
      <c r="N496" s="20" t="str">
        <f t="shared" si="52"/>
        <v>No</v>
      </c>
    </row>
    <row r="497" spans="1:14" x14ac:dyDescent="0.25">
      <c r="A497" s="15">
        <v>44187</v>
      </c>
      <c r="B497" s="16">
        <v>2020</v>
      </c>
      <c r="C497" s="17">
        <v>1950</v>
      </c>
      <c r="D497" s="17">
        <v>1960</v>
      </c>
      <c r="E497" s="17">
        <v>1830</v>
      </c>
      <c r="F497" s="17">
        <v>1835</v>
      </c>
      <c r="G497" s="17">
        <v>1513.91</v>
      </c>
      <c r="H497" s="18">
        <v>678922000</v>
      </c>
      <c r="I497" s="22" t="str">
        <f t="shared" si="53"/>
        <v>-</v>
      </c>
      <c r="J497" s="19">
        <f t="shared" si="54"/>
        <v>-6.6157760814249356</v>
      </c>
      <c r="K497" s="19">
        <f t="shared" si="55"/>
        <v>8.2749766759431296</v>
      </c>
      <c r="L497" s="20" t="str">
        <f t="shared" si="50"/>
        <v>Sharp Price Decrease</v>
      </c>
      <c r="M497" s="20" t="str">
        <f t="shared" si="51"/>
        <v>Normal</v>
      </c>
      <c r="N497" s="20" t="str">
        <f t="shared" si="52"/>
        <v>No</v>
      </c>
    </row>
    <row r="498" spans="1:14" x14ac:dyDescent="0.25">
      <c r="A498" s="15">
        <v>44188</v>
      </c>
      <c r="B498" s="16">
        <v>2020</v>
      </c>
      <c r="C498" s="17">
        <v>1830</v>
      </c>
      <c r="D498" s="17">
        <v>1850</v>
      </c>
      <c r="E498" s="17">
        <v>1720</v>
      </c>
      <c r="F498" s="17">
        <v>1790</v>
      </c>
      <c r="G498" s="17">
        <v>1476.79</v>
      </c>
      <c r="H498" s="18">
        <v>659296400</v>
      </c>
      <c r="I498" s="22" t="str">
        <f t="shared" si="53"/>
        <v>-</v>
      </c>
      <c r="J498" s="19">
        <f t="shared" si="54"/>
        <v>-2.4523160762942782</v>
      </c>
      <c r="K498" s="19">
        <f t="shared" si="55"/>
        <v>-2.8907002571724001</v>
      </c>
      <c r="L498" s="20" t="str">
        <f t="shared" si="50"/>
        <v>Normal</v>
      </c>
      <c r="M498" s="20" t="str">
        <f t="shared" si="51"/>
        <v>Normal</v>
      </c>
      <c r="N498" s="20" t="str">
        <f t="shared" si="52"/>
        <v>No</v>
      </c>
    </row>
    <row r="499" spans="1:14" x14ac:dyDescent="0.25">
      <c r="A499" s="15">
        <v>44193</v>
      </c>
      <c r="B499" s="16">
        <v>2020</v>
      </c>
      <c r="C499" s="17">
        <v>1825</v>
      </c>
      <c r="D499" s="17">
        <v>2000</v>
      </c>
      <c r="E499" s="17">
        <v>1780</v>
      </c>
      <c r="F499" s="17">
        <v>2000</v>
      </c>
      <c r="G499" s="17">
        <v>1650.04</v>
      </c>
      <c r="H499" s="18">
        <v>992175000</v>
      </c>
      <c r="I499" s="22" t="str">
        <f t="shared" si="53"/>
        <v>+</v>
      </c>
      <c r="J499" s="19">
        <f t="shared" si="54"/>
        <v>11.731843575418994</v>
      </c>
      <c r="K499" s="19">
        <f t="shared" si="55"/>
        <v>50.489976890515408</v>
      </c>
      <c r="L499" s="20" t="str">
        <f t="shared" si="50"/>
        <v>Sharp Price Increase</v>
      </c>
      <c r="M499" s="20" t="str">
        <f t="shared" si="51"/>
        <v>Normal</v>
      </c>
      <c r="N499" s="20" t="str">
        <f t="shared" si="52"/>
        <v>No</v>
      </c>
    </row>
    <row r="500" spans="1:14" x14ac:dyDescent="0.25">
      <c r="A500" s="15">
        <v>44194</v>
      </c>
      <c r="B500" s="16">
        <v>2020</v>
      </c>
      <c r="C500" s="17">
        <v>2050</v>
      </c>
      <c r="D500" s="17">
        <v>2070</v>
      </c>
      <c r="E500" s="17">
        <v>1935</v>
      </c>
      <c r="F500" s="17">
        <v>1945</v>
      </c>
      <c r="G500" s="17">
        <v>1604.66</v>
      </c>
      <c r="H500" s="18">
        <v>739754900</v>
      </c>
      <c r="I500" s="22" t="str">
        <f t="shared" si="53"/>
        <v>-</v>
      </c>
      <c r="J500" s="19">
        <f t="shared" si="54"/>
        <v>-2.75</v>
      </c>
      <c r="K500" s="19">
        <f t="shared" si="55"/>
        <v>-25.441086501877191</v>
      </c>
      <c r="L500" s="20" t="str">
        <f t="shared" si="50"/>
        <v>Normal</v>
      </c>
      <c r="M500" s="20" t="str">
        <f t="shared" si="51"/>
        <v>Normal</v>
      </c>
      <c r="N500" s="20" t="str">
        <f t="shared" si="52"/>
        <v>No</v>
      </c>
    </row>
    <row r="501" spans="1:14" x14ac:dyDescent="0.25">
      <c r="A501" s="15">
        <v>44195</v>
      </c>
      <c r="B501" s="16">
        <v>2020</v>
      </c>
      <c r="C501" s="17">
        <v>1945</v>
      </c>
      <c r="D501" s="17">
        <v>1985</v>
      </c>
      <c r="E501" s="17">
        <v>1905</v>
      </c>
      <c r="F501" s="17">
        <v>1935</v>
      </c>
      <c r="G501" s="17">
        <v>1596.41</v>
      </c>
      <c r="H501" s="18">
        <v>535943500</v>
      </c>
      <c r="I501" s="22" t="str">
        <f t="shared" si="53"/>
        <v>-</v>
      </c>
      <c r="J501" s="19">
        <f t="shared" si="54"/>
        <v>-0.51413881748071977</v>
      </c>
      <c r="K501" s="19">
        <f t="shared" si="55"/>
        <v>-27.551206487446045</v>
      </c>
      <c r="L501" s="20" t="str">
        <f t="shared" si="50"/>
        <v>Normal</v>
      </c>
      <c r="M501" s="20" t="str">
        <f t="shared" si="51"/>
        <v>Normal</v>
      </c>
      <c r="N501" s="20" t="str">
        <f t="shared" si="52"/>
        <v>No</v>
      </c>
    </row>
    <row r="502" spans="1:14" x14ac:dyDescent="0.25">
      <c r="A502" s="3">
        <v>44200</v>
      </c>
      <c r="B502" s="4">
        <v>2021</v>
      </c>
      <c r="C502" s="5">
        <v>1970</v>
      </c>
      <c r="D502" s="5">
        <v>2200</v>
      </c>
      <c r="E502" s="5">
        <v>1940</v>
      </c>
      <c r="F502" s="5">
        <v>2190</v>
      </c>
      <c r="G502" s="5">
        <v>1806.79</v>
      </c>
      <c r="H502" s="6">
        <v>1040753400</v>
      </c>
      <c r="I502" s="22" t="str">
        <f t="shared" si="53"/>
        <v>+</v>
      </c>
      <c r="J502" s="7">
        <f t="shared" si="54"/>
        <v>13.178294573643413</v>
      </c>
      <c r="K502" s="7">
        <f t="shared" si="55"/>
        <v>94.190880195393731</v>
      </c>
      <c r="L502" s="2" t="str">
        <f t="shared" si="50"/>
        <v>Sharp Price Increase</v>
      </c>
      <c r="M502" s="2" t="str">
        <f t="shared" si="51"/>
        <v>Normal</v>
      </c>
      <c r="N502" s="2" t="str">
        <f t="shared" si="52"/>
        <v>No</v>
      </c>
    </row>
    <row r="503" spans="1:14" x14ac:dyDescent="0.25">
      <c r="A503" s="3">
        <v>44201</v>
      </c>
      <c r="B503" s="4">
        <v>2021</v>
      </c>
      <c r="C503" s="5">
        <v>2190</v>
      </c>
      <c r="D503" s="5">
        <v>2340</v>
      </c>
      <c r="E503" s="5">
        <v>2130</v>
      </c>
      <c r="F503" s="5">
        <v>2230</v>
      </c>
      <c r="G503" s="5">
        <v>1839.8</v>
      </c>
      <c r="H503" s="6">
        <v>1139014700</v>
      </c>
      <c r="I503" s="22" t="str">
        <f t="shared" si="53"/>
        <v>+</v>
      </c>
      <c r="J503" s="7">
        <f t="shared" si="54"/>
        <v>1.8264840182648401</v>
      </c>
      <c r="K503" s="7">
        <f t="shared" si="55"/>
        <v>9.4413623822895989</v>
      </c>
      <c r="L503" s="2" t="str">
        <f t="shared" si="50"/>
        <v>Normal</v>
      </c>
      <c r="M503" s="2" t="str">
        <f t="shared" si="51"/>
        <v>Normal</v>
      </c>
      <c r="N503" s="2" t="str">
        <f t="shared" si="52"/>
        <v>No</v>
      </c>
    </row>
    <row r="504" spans="1:14" x14ac:dyDescent="0.25">
      <c r="A504" s="3">
        <v>44202</v>
      </c>
      <c r="B504" s="4">
        <v>2021</v>
      </c>
      <c r="C504" s="5">
        <v>2270</v>
      </c>
      <c r="D504" s="5">
        <v>2290</v>
      </c>
      <c r="E504" s="5">
        <v>2130</v>
      </c>
      <c r="F504" s="5">
        <v>2220</v>
      </c>
      <c r="G504" s="5">
        <v>1831.55</v>
      </c>
      <c r="H504" s="6">
        <v>629211500</v>
      </c>
      <c r="I504" s="22" t="str">
        <f t="shared" si="53"/>
        <v>-</v>
      </c>
      <c r="J504" s="7">
        <f t="shared" si="54"/>
        <v>-0.44843049327354262</v>
      </c>
      <c r="K504" s="7">
        <f t="shared" si="55"/>
        <v>-44.758263435932825</v>
      </c>
      <c r="L504" s="2" t="str">
        <f t="shared" si="50"/>
        <v>Normal</v>
      </c>
      <c r="M504" s="2" t="str">
        <f t="shared" si="51"/>
        <v>Normal</v>
      </c>
      <c r="N504" s="2" t="str">
        <f t="shared" si="52"/>
        <v>No</v>
      </c>
    </row>
    <row r="505" spans="1:14" x14ac:dyDescent="0.25">
      <c r="A505" s="3">
        <v>44203</v>
      </c>
      <c r="B505" s="4">
        <v>2021</v>
      </c>
      <c r="C505" s="5">
        <v>2250</v>
      </c>
      <c r="D505" s="5">
        <v>2740</v>
      </c>
      <c r="E505" s="5">
        <v>2240</v>
      </c>
      <c r="F505" s="5">
        <v>2600</v>
      </c>
      <c r="G505" s="5">
        <v>2145.0500000000002</v>
      </c>
      <c r="H505" s="6">
        <v>1982112200</v>
      </c>
      <c r="I505" s="22" t="str">
        <f t="shared" si="53"/>
        <v>+</v>
      </c>
      <c r="J505" s="7">
        <f t="shared" si="54"/>
        <v>17.117117117117118</v>
      </c>
      <c r="K505" s="7">
        <f t="shared" si="55"/>
        <v>215.01525321771771</v>
      </c>
      <c r="L505" s="2" t="str">
        <f t="shared" si="50"/>
        <v>Sharp Price Increase</v>
      </c>
      <c r="M505" s="2" t="str">
        <f t="shared" si="51"/>
        <v>Sharp Volume Increase</v>
      </c>
      <c r="N505" s="2" t="str">
        <f t="shared" si="52"/>
        <v>Yes</v>
      </c>
    </row>
    <row r="506" spans="1:14" x14ac:dyDescent="0.25">
      <c r="A506" s="3">
        <v>44204</v>
      </c>
      <c r="B506" s="4">
        <v>2021</v>
      </c>
      <c r="C506" s="5">
        <v>2640</v>
      </c>
      <c r="D506" s="5">
        <v>2750</v>
      </c>
      <c r="E506" s="5">
        <v>2560</v>
      </c>
      <c r="F506" s="5">
        <v>2600</v>
      </c>
      <c r="G506" s="5">
        <v>2145.0500000000002</v>
      </c>
      <c r="H506" s="6">
        <v>1052618000</v>
      </c>
      <c r="I506" s="22" t="str">
        <f t="shared" si="53"/>
        <v>0</v>
      </c>
      <c r="J506" s="7">
        <f t="shared" si="54"/>
        <v>0</v>
      </c>
      <c r="K506" s="7">
        <f t="shared" si="55"/>
        <v>-46.894126376902378</v>
      </c>
      <c r="L506" s="2" t="str">
        <f t="shared" si="50"/>
        <v>Normal</v>
      </c>
      <c r="M506" s="2" t="str">
        <f t="shared" si="51"/>
        <v>Normal</v>
      </c>
      <c r="N506" s="2" t="str">
        <f t="shared" si="52"/>
        <v>No</v>
      </c>
    </row>
    <row r="507" spans="1:14" x14ac:dyDescent="0.25">
      <c r="A507" s="3">
        <v>44207</v>
      </c>
      <c r="B507" s="4">
        <v>2021</v>
      </c>
      <c r="C507" s="5">
        <v>2560</v>
      </c>
      <c r="D507" s="5">
        <v>2650</v>
      </c>
      <c r="E507" s="5">
        <v>2530</v>
      </c>
      <c r="F507" s="5">
        <v>2580</v>
      </c>
      <c r="G507" s="5">
        <v>2128.5500000000002</v>
      </c>
      <c r="H507" s="6">
        <v>521301600</v>
      </c>
      <c r="I507" s="22" t="str">
        <f t="shared" si="53"/>
        <v>-</v>
      </c>
      <c r="J507" s="7">
        <f t="shared" si="54"/>
        <v>-0.76923076923076927</v>
      </c>
      <c r="K507" s="7">
        <f t="shared" si="55"/>
        <v>-50.475709136647865</v>
      </c>
      <c r="L507" s="2" t="str">
        <f t="shared" si="50"/>
        <v>Normal</v>
      </c>
      <c r="M507" s="2" t="str">
        <f t="shared" si="51"/>
        <v>Normal</v>
      </c>
      <c r="N507" s="2" t="str">
        <f t="shared" si="52"/>
        <v>No</v>
      </c>
    </row>
    <row r="508" spans="1:14" x14ac:dyDescent="0.25">
      <c r="A508" s="3">
        <v>44208</v>
      </c>
      <c r="B508" s="4">
        <v>2021</v>
      </c>
      <c r="C508" s="5">
        <v>2580</v>
      </c>
      <c r="D508" s="5">
        <v>2780</v>
      </c>
      <c r="E508" s="5">
        <v>2550</v>
      </c>
      <c r="F508" s="5">
        <v>2770</v>
      </c>
      <c r="G508" s="5">
        <v>2285.31</v>
      </c>
      <c r="H508" s="6">
        <v>1147172800</v>
      </c>
      <c r="I508" s="22" t="str">
        <f t="shared" si="53"/>
        <v>+</v>
      </c>
      <c r="J508" s="7">
        <f t="shared" si="54"/>
        <v>7.3643410852713185</v>
      </c>
      <c r="K508" s="7">
        <f t="shared" si="55"/>
        <v>120.05932841947924</v>
      </c>
      <c r="L508" s="2" t="str">
        <f t="shared" si="50"/>
        <v>Sharp Price Increase</v>
      </c>
      <c r="M508" s="2" t="str">
        <f t="shared" si="51"/>
        <v>Normal</v>
      </c>
      <c r="N508" s="2" t="str">
        <f t="shared" si="52"/>
        <v>No</v>
      </c>
    </row>
    <row r="509" spans="1:14" x14ac:dyDescent="0.25">
      <c r="A509" s="3">
        <v>44209</v>
      </c>
      <c r="B509" s="4">
        <v>2021</v>
      </c>
      <c r="C509" s="5">
        <v>2850</v>
      </c>
      <c r="D509" s="5">
        <v>3130</v>
      </c>
      <c r="E509" s="5">
        <v>2850</v>
      </c>
      <c r="F509" s="5">
        <v>3120</v>
      </c>
      <c r="G509" s="5">
        <v>2574.06</v>
      </c>
      <c r="H509" s="6">
        <v>1280852600</v>
      </c>
      <c r="I509" s="22" t="str">
        <f t="shared" si="53"/>
        <v>+</v>
      </c>
      <c r="J509" s="7">
        <f t="shared" si="54"/>
        <v>12.63537906137184</v>
      </c>
      <c r="K509" s="7">
        <f t="shared" si="55"/>
        <v>11.652978522503323</v>
      </c>
      <c r="L509" s="2" t="str">
        <f t="shared" si="50"/>
        <v>Sharp Price Increase</v>
      </c>
      <c r="M509" s="2" t="str">
        <f t="shared" si="51"/>
        <v>Normal</v>
      </c>
      <c r="N509" s="2" t="str">
        <f t="shared" si="52"/>
        <v>No</v>
      </c>
    </row>
    <row r="510" spans="1:14" x14ac:dyDescent="0.25">
      <c r="A510" s="3">
        <v>44210</v>
      </c>
      <c r="B510" s="4">
        <v>2021</v>
      </c>
      <c r="C510" s="5">
        <v>3140</v>
      </c>
      <c r="D510" s="5">
        <v>3440</v>
      </c>
      <c r="E510" s="5">
        <v>3060</v>
      </c>
      <c r="F510" s="5">
        <v>3180</v>
      </c>
      <c r="G510" s="5">
        <v>2623.56</v>
      </c>
      <c r="H510" s="6">
        <v>1499058400</v>
      </c>
      <c r="I510" s="22" t="str">
        <f t="shared" si="53"/>
        <v>+</v>
      </c>
      <c r="J510" s="7">
        <f t="shared" si="54"/>
        <v>1.9230769230769231</v>
      </c>
      <c r="K510" s="7">
        <f t="shared" si="55"/>
        <v>17.035980564820651</v>
      </c>
      <c r="L510" s="2" t="str">
        <f t="shared" si="50"/>
        <v>Normal</v>
      </c>
      <c r="M510" s="2" t="str">
        <f t="shared" si="51"/>
        <v>Normal</v>
      </c>
      <c r="N510" s="2" t="str">
        <f t="shared" si="52"/>
        <v>No</v>
      </c>
    </row>
    <row r="511" spans="1:14" x14ac:dyDescent="0.25">
      <c r="A511" s="3">
        <v>44211</v>
      </c>
      <c r="B511" s="4">
        <v>2021</v>
      </c>
      <c r="C511" s="5">
        <v>3300</v>
      </c>
      <c r="D511" s="5">
        <v>3380</v>
      </c>
      <c r="E511" s="5">
        <v>3040</v>
      </c>
      <c r="F511" s="5">
        <v>3120</v>
      </c>
      <c r="G511" s="5">
        <v>2574.06</v>
      </c>
      <c r="H511" s="6">
        <v>915912100</v>
      </c>
      <c r="I511" s="22" t="str">
        <f t="shared" si="53"/>
        <v>-</v>
      </c>
      <c r="J511" s="7">
        <f t="shared" si="54"/>
        <v>-1.8867924528301887</v>
      </c>
      <c r="K511" s="7">
        <f t="shared" si="55"/>
        <v>-38.900839353556869</v>
      </c>
      <c r="L511" s="2" t="str">
        <f t="shared" si="50"/>
        <v>Normal</v>
      </c>
      <c r="M511" s="2" t="str">
        <f t="shared" si="51"/>
        <v>Normal</v>
      </c>
      <c r="N511" s="2" t="str">
        <f t="shared" si="52"/>
        <v>No</v>
      </c>
    </row>
    <row r="512" spans="1:14" x14ac:dyDescent="0.25">
      <c r="A512" s="3">
        <v>44214</v>
      </c>
      <c r="B512" s="4">
        <v>2021</v>
      </c>
      <c r="C512" s="5">
        <v>3000</v>
      </c>
      <c r="D512" s="5">
        <v>3140</v>
      </c>
      <c r="E512" s="5">
        <v>2910</v>
      </c>
      <c r="F512" s="5">
        <v>2910</v>
      </c>
      <c r="G512" s="5">
        <v>2400.81</v>
      </c>
      <c r="H512" s="6">
        <v>930618200</v>
      </c>
      <c r="I512" s="22" t="str">
        <f t="shared" si="53"/>
        <v>-</v>
      </c>
      <c r="J512" s="7">
        <f t="shared" si="54"/>
        <v>-6.7307692307692308</v>
      </c>
      <c r="K512" s="7">
        <f t="shared" si="55"/>
        <v>1.6056235090681739</v>
      </c>
      <c r="L512" s="2" t="str">
        <f t="shared" si="50"/>
        <v>Sharp Price Decrease</v>
      </c>
      <c r="M512" s="2" t="str">
        <f t="shared" si="51"/>
        <v>Normal</v>
      </c>
      <c r="N512" s="2" t="str">
        <f t="shared" si="52"/>
        <v>No</v>
      </c>
    </row>
    <row r="513" spans="1:14" x14ac:dyDescent="0.25">
      <c r="A513" s="3">
        <v>44215</v>
      </c>
      <c r="B513" s="4">
        <v>2021</v>
      </c>
      <c r="C513" s="5">
        <v>2810</v>
      </c>
      <c r="D513" s="5">
        <v>2850</v>
      </c>
      <c r="E513" s="5">
        <v>2710</v>
      </c>
      <c r="F513" s="5">
        <v>2710</v>
      </c>
      <c r="G513" s="5">
        <v>2235.81</v>
      </c>
      <c r="H513" s="6">
        <v>360498600</v>
      </c>
      <c r="I513" s="22" t="str">
        <f t="shared" si="53"/>
        <v>-</v>
      </c>
      <c r="J513" s="7">
        <f t="shared" si="54"/>
        <v>-6.8728522336769764</v>
      </c>
      <c r="K513" s="7">
        <f t="shared" si="55"/>
        <v>-61.262459728382701</v>
      </c>
      <c r="L513" s="2" t="str">
        <f t="shared" si="50"/>
        <v>Sharp Price Decrease</v>
      </c>
      <c r="M513" s="2" t="str">
        <f t="shared" si="51"/>
        <v>Sharp Volume Decrease</v>
      </c>
      <c r="N513" s="2" t="str">
        <f t="shared" si="52"/>
        <v>Yes</v>
      </c>
    </row>
    <row r="514" spans="1:14" x14ac:dyDescent="0.25">
      <c r="A514" s="3">
        <v>44216</v>
      </c>
      <c r="B514" s="4">
        <v>2021</v>
      </c>
      <c r="C514" s="5">
        <v>2540</v>
      </c>
      <c r="D514" s="5">
        <v>3200</v>
      </c>
      <c r="E514" s="5">
        <v>2530</v>
      </c>
      <c r="F514" s="5">
        <v>3190</v>
      </c>
      <c r="G514" s="5">
        <v>2631.81</v>
      </c>
      <c r="H514" s="6">
        <v>1983213100</v>
      </c>
      <c r="I514" s="22" t="str">
        <f t="shared" si="53"/>
        <v>+</v>
      </c>
      <c r="J514" s="7">
        <f t="shared" si="54"/>
        <v>17.712177121771216</v>
      </c>
      <c r="K514" s="7">
        <f t="shared" si="55"/>
        <v>450.13059690106979</v>
      </c>
      <c r="L514" s="2" t="str">
        <f t="shared" si="50"/>
        <v>Sharp Price Increase</v>
      </c>
      <c r="M514" s="2" t="str">
        <f t="shared" si="51"/>
        <v>Sharp Volume Increase</v>
      </c>
      <c r="N514" s="2" t="str">
        <f t="shared" si="52"/>
        <v>Yes</v>
      </c>
    </row>
    <row r="515" spans="1:14" x14ac:dyDescent="0.25">
      <c r="A515" s="3">
        <v>44217</v>
      </c>
      <c r="B515" s="4">
        <v>2021</v>
      </c>
      <c r="C515" s="5">
        <v>3290</v>
      </c>
      <c r="D515" s="5">
        <v>3340</v>
      </c>
      <c r="E515" s="5">
        <v>3030</v>
      </c>
      <c r="F515" s="5">
        <v>3090</v>
      </c>
      <c r="G515" s="5">
        <v>2549.31</v>
      </c>
      <c r="H515" s="6">
        <v>1273877400</v>
      </c>
      <c r="I515" s="22" t="str">
        <f t="shared" si="53"/>
        <v>-</v>
      </c>
      <c r="J515" s="7">
        <f t="shared" si="54"/>
        <v>-3.1347962382445136</v>
      </c>
      <c r="K515" s="7">
        <f t="shared" si="55"/>
        <v>-35.766993471352123</v>
      </c>
      <c r="L515" s="2" t="str">
        <f t="shared" ref="L515:L578" si="56">IFERROR(IF(OR(J515="",ISBLANK(J515)),"Normal",IF(J515&lt;=$U$6,"Sharp Price Decrease",IF(J515&gt;=$U$7,"Sharp Price Increase","Normal"))),"Normal")</f>
        <v>Normal</v>
      </c>
      <c r="M515" s="2" t="str">
        <f t="shared" ref="M515:M578" si="57">IFERROR(IF(OR(K515="",ISBLANK(K515)),"Normal",IF(K515&lt;=$U$8,"Sharp Volume Decrease",IF(K515&gt;=$U$9,"Sharp Volume Increase","Normal"))),"Normal")</f>
        <v>Normal</v>
      </c>
      <c r="N515" s="2" t="str">
        <f t="shared" ref="N515:N578" si="58">IFERROR(IF(AND(OR(L515="Sharp Price Increase",L515="Sharp Price Decrease"),OR(M515="Sharp Volume Increase",M515="Sharp Volume Decrease")),"Yes","No"),"No")</f>
        <v>No</v>
      </c>
    </row>
    <row r="516" spans="1:14" x14ac:dyDescent="0.25">
      <c r="A516" s="3">
        <v>44218</v>
      </c>
      <c r="B516" s="4">
        <v>2021</v>
      </c>
      <c r="C516" s="5">
        <v>3090</v>
      </c>
      <c r="D516" s="5">
        <v>3090</v>
      </c>
      <c r="E516" s="5">
        <v>2880</v>
      </c>
      <c r="F516" s="5">
        <v>2880</v>
      </c>
      <c r="G516" s="5">
        <v>2376.06</v>
      </c>
      <c r="H516" s="6">
        <v>894766800</v>
      </c>
      <c r="I516" s="22" t="str">
        <f t="shared" ref="I516:I579" si="59">IFERROR(IF(OR(F515="",F516=""),"",IF(F516-F515&lt;0,"-",IF(F516-F515&gt;0,"+","0"))),"")</f>
        <v>-</v>
      </c>
      <c r="J516" s="7">
        <f t="shared" ref="J516:J579" si="60">(F516-F515)/F515*100</f>
        <v>-6.7961165048543686</v>
      </c>
      <c r="K516" s="7">
        <f t="shared" ref="K516:K579" si="61">(H516-H515)/H515*100</f>
        <v>-29.760367834455653</v>
      </c>
      <c r="L516" s="2" t="str">
        <f t="shared" si="56"/>
        <v>Sharp Price Decrease</v>
      </c>
      <c r="M516" s="2" t="str">
        <f t="shared" si="57"/>
        <v>Normal</v>
      </c>
      <c r="N516" s="2" t="str">
        <f t="shared" si="58"/>
        <v>No</v>
      </c>
    </row>
    <row r="517" spans="1:14" x14ac:dyDescent="0.25">
      <c r="A517" s="3">
        <v>44221</v>
      </c>
      <c r="B517" s="4">
        <v>2021</v>
      </c>
      <c r="C517" s="5">
        <v>2760</v>
      </c>
      <c r="D517" s="5">
        <v>2960</v>
      </c>
      <c r="E517" s="5">
        <v>2680</v>
      </c>
      <c r="F517" s="5">
        <v>2870</v>
      </c>
      <c r="G517" s="5">
        <v>2367.81</v>
      </c>
      <c r="H517" s="6">
        <v>1222991300</v>
      </c>
      <c r="I517" s="22" t="str">
        <f t="shared" si="59"/>
        <v>-</v>
      </c>
      <c r="J517" s="7">
        <f t="shared" si="60"/>
        <v>-0.34722222222222221</v>
      </c>
      <c r="K517" s="7">
        <f t="shared" si="61"/>
        <v>36.682686483226689</v>
      </c>
      <c r="L517" s="2" t="str">
        <f t="shared" si="56"/>
        <v>Normal</v>
      </c>
      <c r="M517" s="2" t="str">
        <f t="shared" si="57"/>
        <v>Normal</v>
      </c>
      <c r="N517" s="2" t="str">
        <f t="shared" si="58"/>
        <v>No</v>
      </c>
    </row>
    <row r="518" spans="1:14" x14ac:dyDescent="0.25">
      <c r="A518" s="3">
        <v>44222</v>
      </c>
      <c r="B518" s="4">
        <v>2021</v>
      </c>
      <c r="C518" s="5">
        <v>2900</v>
      </c>
      <c r="D518" s="5">
        <v>2930</v>
      </c>
      <c r="E518" s="5">
        <v>2670</v>
      </c>
      <c r="F518" s="5">
        <v>2670</v>
      </c>
      <c r="G518" s="5">
        <v>2202.8000000000002</v>
      </c>
      <c r="H518" s="6">
        <v>786819300</v>
      </c>
      <c r="I518" s="22" t="str">
        <f t="shared" si="59"/>
        <v>-</v>
      </c>
      <c r="J518" s="7">
        <f t="shared" si="60"/>
        <v>-6.968641114982578</v>
      </c>
      <c r="K518" s="7">
        <f t="shared" si="61"/>
        <v>-35.664358364609789</v>
      </c>
      <c r="L518" s="2" t="str">
        <f t="shared" si="56"/>
        <v>Sharp Price Decrease</v>
      </c>
      <c r="M518" s="2" t="str">
        <f t="shared" si="57"/>
        <v>Normal</v>
      </c>
      <c r="N518" s="2" t="str">
        <f t="shared" si="58"/>
        <v>No</v>
      </c>
    </row>
    <row r="519" spans="1:14" x14ac:dyDescent="0.25">
      <c r="A519" s="3">
        <v>44223</v>
      </c>
      <c r="B519" s="4">
        <v>2021</v>
      </c>
      <c r="C519" s="5">
        <v>2620</v>
      </c>
      <c r="D519" s="5">
        <v>2740</v>
      </c>
      <c r="E519" s="5">
        <v>2490</v>
      </c>
      <c r="F519" s="5">
        <v>2550</v>
      </c>
      <c r="G519" s="5">
        <v>2103.8000000000002</v>
      </c>
      <c r="H519" s="6">
        <v>1341364800</v>
      </c>
      <c r="I519" s="22" t="str">
        <f t="shared" si="59"/>
        <v>-</v>
      </c>
      <c r="J519" s="7">
        <f t="shared" si="60"/>
        <v>-4.4943820224719104</v>
      </c>
      <c r="K519" s="7">
        <f t="shared" si="61"/>
        <v>70.479397238984859</v>
      </c>
      <c r="L519" s="2" t="str">
        <f t="shared" si="56"/>
        <v>Sharp Price Decrease</v>
      </c>
      <c r="M519" s="2" t="str">
        <f t="shared" si="57"/>
        <v>Normal</v>
      </c>
      <c r="N519" s="2" t="str">
        <f t="shared" si="58"/>
        <v>No</v>
      </c>
    </row>
    <row r="520" spans="1:14" x14ac:dyDescent="0.25">
      <c r="A520" s="3">
        <v>44224</v>
      </c>
      <c r="B520" s="4">
        <v>2021</v>
      </c>
      <c r="C520" s="5">
        <v>2470</v>
      </c>
      <c r="D520" s="5">
        <v>2570</v>
      </c>
      <c r="E520" s="5">
        <v>2380</v>
      </c>
      <c r="F520" s="5">
        <v>2380</v>
      </c>
      <c r="G520" s="5">
        <v>1963.55</v>
      </c>
      <c r="H520" s="6">
        <v>731854900</v>
      </c>
      <c r="I520" s="22" t="str">
        <f t="shared" si="59"/>
        <v>-</v>
      </c>
      <c r="J520" s="7">
        <f t="shared" si="60"/>
        <v>-6.666666666666667</v>
      </c>
      <c r="K520" s="7">
        <f t="shared" si="61"/>
        <v>-45.439532929446187</v>
      </c>
      <c r="L520" s="2" t="str">
        <f t="shared" si="56"/>
        <v>Sharp Price Decrease</v>
      </c>
      <c r="M520" s="2" t="str">
        <f t="shared" si="57"/>
        <v>Normal</v>
      </c>
      <c r="N520" s="2" t="str">
        <f t="shared" si="58"/>
        <v>No</v>
      </c>
    </row>
    <row r="521" spans="1:14" x14ac:dyDescent="0.25">
      <c r="A521" s="3">
        <v>44225</v>
      </c>
      <c r="B521" s="4">
        <v>2021</v>
      </c>
      <c r="C521" s="5">
        <v>2370</v>
      </c>
      <c r="D521" s="5">
        <v>2440</v>
      </c>
      <c r="E521" s="5">
        <v>2220</v>
      </c>
      <c r="F521" s="5">
        <v>2220</v>
      </c>
      <c r="G521" s="5">
        <v>1831.55</v>
      </c>
      <c r="H521" s="6">
        <v>450321200</v>
      </c>
      <c r="I521" s="22" t="str">
        <f t="shared" si="59"/>
        <v>-</v>
      </c>
      <c r="J521" s="7">
        <f t="shared" si="60"/>
        <v>-6.7226890756302522</v>
      </c>
      <c r="K521" s="7">
        <f t="shared" si="61"/>
        <v>-38.468513362416509</v>
      </c>
      <c r="L521" s="2" t="str">
        <f t="shared" si="56"/>
        <v>Sharp Price Decrease</v>
      </c>
      <c r="M521" s="2" t="str">
        <f t="shared" si="57"/>
        <v>Normal</v>
      </c>
      <c r="N521" s="2" t="str">
        <f t="shared" si="58"/>
        <v>No</v>
      </c>
    </row>
    <row r="522" spans="1:14" x14ac:dyDescent="0.25">
      <c r="A522" s="3">
        <v>44228</v>
      </c>
      <c r="B522" s="4">
        <v>2021</v>
      </c>
      <c r="C522" s="5">
        <v>2090</v>
      </c>
      <c r="D522" s="5">
        <v>2640</v>
      </c>
      <c r="E522" s="5">
        <v>2070</v>
      </c>
      <c r="F522" s="5">
        <v>2600</v>
      </c>
      <c r="G522" s="5">
        <v>2145.0500000000002</v>
      </c>
      <c r="H522" s="6">
        <v>2186652700</v>
      </c>
      <c r="I522" s="22" t="str">
        <f t="shared" si="59"/>
        <v>+</v>
      </c>
      <c r="J522" s="7">
        <f t="shared" si="60"/>
        <v>17.117117117117118</v>
      </c>
      <c r="K522" s="7">
        <f t="shared" si="61"/>
        <v>385.57622870075846</v>
      </c>
      <c r="L522" s="2" t="str">
        <f t="shared" si="56"/>
        <v>Sharp Price Increase</v>
      </c>
      <c r="M522" s="2" t="str">
        <f t="shared" si="57"/>
        <v>Sharp Volume Increase</v>
      </c>
      <c r="N522" s="2" t="str">
        <f t="shared" si="58"/>
        <v>Yes</v>
      </c>
    </row>
    <row r="523" spans="1:14" x14ac:dyDescent="0.25">
      <c r="A523" s="3">
        <v>44229</v>
      </c>
      <c r="B523" s="4">
        <v>2021</v>
      </c>
      <c r="C523" s="5">
        <v>2600</v>
      </c>
      <c r="D523" s="5">
        <v>2630</v>
      </c>
      <c r="E523" s="5">
        <v>2420</v>
      </c>
      <c r="F523" s="5">
        <v>2420</v>
      </c>
      <c r="G523" s="5">
        <v>1996.55</v>
      </c>
      <c r="H523" s="6">
        <v>942434300</v>
      </c>
      <c r="I523" s="22" t="str">
        <f t="shared" si="59"/>
        <v>-</v>
      </c>
      <c r="J523" s="7">
        <f t="shared" si="60"/>
        <v>-6.9230769230769234</v>
      </c>
      <c r="K523" s="7">
        <f t="shared" si="61"/>
        <v>-56.900595142520807</v>
      </c>
      <c r="L523" s="2" t="str">
        <f t="shared" si="56"/>
        <v>Sharp Price Decrease</v>
      </c>
      <c r="M523" s="2" t="str">
        <f t="shared" si="57"/>
        <v>Normal</v>
      </c>
      <c r="N523" s="2" t="str">
        <f t="shared" si="58"/>
        <v>No</v>
      </c>
    </row>
    <row r="524" spans="1:14" x14ac:dyDescent="0.25">
      <c r="A524" s="3">
        <v>44230</v>
      </c>
      <c r="B524" s="4">
        <v>2021</v>
      </c>
      <c r="C524" s="5">
        <v>2390</v>
      </c>
      <c r="D524" s="5">
        <v>2520</v>
      </c>
      <c r="E524" s="5">
        <v>2290</v>
      </c>
      <c r="F524" s="5">
        <v>2330</v>
      </c>
      <c r="G524" s="5">
        <v>1922.3</v>
      </c>
      <c r="H524" s="6">
        <v>948031000</v>
      </c>
      <c r="I524" s="22" t="str">
        <f t="shared" si="59"/>
        <v>-</v>
      </c>
      <c r="J524" s="7">
        <f t="shared" si="60"/>
        <v>-3.71900826446281</v>
      </c>
      <c r="K524" s="7">
        <f t="shared" si="61"/>
        <v>0.59385572023429112</v>
      </c>
      <c r="L524" s="2" t="str">
        <f t="shared" si="56"/>
        <v>Normal</v>
      </c>
      <c r="M524" s="2" t="str">
        <f t="shared" si="57"/>
        <v>Normal</v>
      </c>
      <c r="N524" s="2" t="str">
        <f t="shared" si="58"/>
        <v>No</v>
      </c>
    </row>
    <row r="525" spans="1:14" x14ac:dyDescent="0.25">
      <c r="A525" s="3">
        <v>44231</v>
      </c>
      <c r="B525" s="4">
        <v>2021</v>
      </c>
      <c r="C525" s="5">
        <v>2400</v>
      </c>
      <c r="D525" s="5">
        <v>2520</v>
      </c>
      <c r="E525" s="5">
        <v>2270</v>
      </c>
      <c r="F525" s="5">
        <v>2400</v>
      </c>
      <c r="G525" s="5">
        <v>1980.05</v>
      </c>
      <c r="H525" s="6">
        <v>874173400</v>
      </c>
      <c r="I525" s="22" t="str">
        <f t="shared" si="59"/>
        <v>+</v>
      </c>
      <c r="J525" s="7">
        <f t="shared" si="60"/>
        <v>3.0042918454935621</v>
      </c>
      <c r="K525" s="7">
        <f t="shared" si="61"/>
        <v>-7.7906313190180487</v>
      </c>
      <c r="L525" s="2" t="str">
        <f t="shared" si="56"/>
        <v>Normal</v>
      </c>
      <c r="M525" s="2" t="str">
        <f t="shared" si="57"/>
        <v>Normal</v>
      </c>
      <c r="N525" s="2" t="str">
        <f t="shared" si="58"/>
        <v>No</v>
      </c>
    </row>
    <row r="526" spans="1:14" x14ac:dyDescent="0.25">
      <c r="A526" s="3">
        <v>44232</v>
      </c>
      <c r="B526" s="4">
        <v>2021</v>
      </c>
      <c r="C526" s="5">
        <v>2450</v>
      </c>
      <c r="D526" s="5">
        <v>2690</v>
      </c>
      <c r="E526" s="5">
        <v>2370</v>
      </c>
      <c r="F526" s="5">
        <v>2660</v>
      </c>
      <c r="G526" s="5">
        <v>2194.5500000000002</v>
      </c>
      <c r="H526" s="6">
        <v>1157647700</v>
      </c>
      <c r="I526" s="22" t="str">
        <f t="shared" si="59"/>
        <v>+</v>
      </c>
      <c r="J526" s="7">
        <f t="shared" si="60"/>
        <v>10.833333333333334</v>
      </c>
      <c r="K526" s="7">
        <f t="shared" si="61"/>
        <v>32.42769683909394</v>
      </c>
      <c r="L526" s="2" t="str">
        <f t="shared" si="56"/>
        <v>Sharp Price Increase</v>
      </c>
      <c r="M526" s="2" t="str">
        <f t="shared" si="57"/>
        <v>Normal</v>
      </c>
      <c r="N526" s="2" t="str">
        <f t="shared" si="58"/>
        <v>No</v>
      </c>
    </row>
    <row r="527" spans="1:14" x14ac:dyDescent="0.25">
      <c r="A527" s="3">
        <v>44235</v>
      </c>
      <c r="B527" s="4">
        <v>2021</v>
      </c>
      <c r="C527" s="5">
        <v>2770</v>
      </c>
      <c r="D527" s="5">
        <v>2830</v>
      </c>
      <c r="E527" s="5">
        <v>2700</v>
      </c>
      <c r="F527" s="5">
        <v>2830</v>
      </c>
      <c r="G527" s="5">
        <v>2334.81</v>
      </c>
      <c r="H527" s="6">
        <v>977135300</v>
      </c>
      <c r="I527" s="22" t="str">
        <f t="shared" si="59"/>
        <v>+</v>
      </c>
      <c r="J527" s="7">
        <f t="shared" si="60"/>
        <v>6.3909774436090219</v>
      </c>
      <c r="K527" s="7">
        <f t="shared" si="61"/>
        <v>-15.593034046541101</v>
      </c>
      <c r="L527" s="2" t="str">
        <f t="shared" si="56"/>
        <v>Sharp Price Increase</v>
      </c>
      <c r="M527" s="2" t="str">
        <f t="shared" si="57"/>
        <v>Normal</v>
      </c>
      <c r="N527" s="2" t="str">
        <f t="shared" si="58"/>
        <v>No</v>
      </c>
    </row>
    <row r="528" spans="1:14" x14ac:dyDescent="0.25">
      <c r="A528" s="3">
        <v>44236</v>
      </c>
      <c r="B528" s="4">
        <v>2021</v>
      </c>
      <c r="C528" s="5">
        <v>2850</v>
      </c>
      <c r="D528" s="5">
        <v>2860</v>
      </c>
      <c r="E528" s="5">
        <v>2640</v>
      </c>
      <c r="F528" s="5">
        <v>2730</v>
      </c>
      <c r="G528" s="5">
        <v>2252.31</v>
      </c>
      <c r="H528" s="6">
        <v>877784900</v>
      </c>
      <c r="I528" s="22" t="str">
        <f t="shared" si="59"/>
        <v>-</v>
      </c>
      <c r="J528" s="7">
        <f t="shared" si="60"/>
        <v>-3.5335689045936398</v>
      </c>
      <c r="K528" s="7">
        <f t="shared" si="61"/>
        <v>-10.167517231237067</v>
      </c>
      <c r="L528" s="2" t="str">
        <f t="shared" si="56"/>
        <v>Normal</v>
      </c>
      <c r="M528" s="2" t="str">
        <f t="shared" si="57"/>
        <v>Normal</v>
      </c>
      <c r="N528" s="2" t="str">
        <f t="shared" si="58"/>
        <v>No</v>
      </c>
    </row>
    <row r="529" spans="1:14" x14ac:dyDescent="0.25">
      <c r="A529" s="3">
        <v>44237</v>
      </c>
      <c r="B529" s="4">
        <v>2021</v>
      </c>
      <c r="C529" s="5">
        <v>2790</v>
      </c>
      <c r="D529" s="5">
        <v>2970</v>
      </c>
      <c r="E529" s="5">
        <v>2720</v>
      </c>
      <c r="F529" s="5">
        <v>2930</v>
      </c>
      <c r="G529" s="5">
        <v>2417.31</v>
      </c>
      <c r="H529" s="6">
        <v>1401720500</v>
      </c>
      <c r="I529" s="22" t="str">
        <f t="shared" si="59"/>
        <v>+</v>
      </c>
      <c r="J529" s="7">
        <f t="shared" si="60"/>
        <v>7.3260073260073266</v>
      </c>
      <c r="K529" s="7">
        <f t="shared" si="61"/>
        <v>59.688381515790489</v>
      </c>
      <c r="L529" s="2" t="str">
        <f t="shared" si="56"/>
        <v>Sharp Price Increase</v>
      </c>
      <c r="M529" s="2" t="str">
        <f t="shared" si="57"/>
        <v>Normal</v>
      </c>
      <c r="N529" s="2" t="str">
        <f t="shared" si="58"/>
        <v>No</v>
      </c>
    </row>
    <row r="530" spans="1:14" x14ac:dyDescent="0.25">
      <c r="A530" s="3">
        <v>44238</v>
      </c>
      <c r="B530" s="4">
        <v>2021</v>
      </c>
      <c r="C530" s="5">
        <v>2940</v>
      </c>
      <c r="D530" s="5">
        <v>2960</v>
      </c>
      <c r="E530" s="5">
        <v>2850</v>
      </c>
      <c r="F530" s="5">
        <v>2870</v>
      </c>
      <c r="G530" s="5">
        <v>2367.81</v>
      </c>
      <c r="H530" s="6">
        <v>620114900</v>
      </c>
      <c r="I530" s="22" t="str">
        <f t="shared" si="59"/>
        <v>-</v>
      </c>
      <c r="J530" s="7">
        <f t="shared" si="60"/>
        <v>-2.0477815699658701</v>
      </c>
      <c r="K530" s="7">
        <f t="shared" si="61"/>
        <v>-55.760445823543279</v>
      </c>
      <c r="L530" s="2" t="str">
        <f t="shared" si="56"/>
        <v>Normal</v>
      </c>
      <c r="M530" s="2" t="str">
        <f t="shared" si="57"/>
        <v>Normal</v>
      </c>
      <c r="N530" s="2" t="str">
        <f t="shared" si="58"/>
        <v>No</v>
      </c>
    </row>
    <row r="531" spans="1:14" x14ac:dyDescent="0.25">
      <c r="A531" s="3">
        <v>44242</v>
      </c>
      <c r="B531" s="4">
        <v>2021</v>
      </c>
      <c r="C531" s="5">
        <v>2900</v>
      </c>
      <c r="D531" s="5">
        <v>2950</v>
      </c>
      <c r="E531" s="5">
        <v>2880</v>
      </c>
      <c r="F531" s="5">
        <v>2900</v>
      </c>
      <c r="G531" s="5">
        <v>2392.56</v>
      </c>
      <c r="H531" s="6">
        <v>361594300</v>
      </c>
      <c r="I531" s="22" t="str">
        <f t="shared" si="59"/>
        <v>+</v>
      </c>
      <c r="J531" s="7">
        <f t="shared" si="60"/>
        <v>1.0452961672473868</v>
      </c>
      <c r="K531" s="7">
        <f t="shared" si="61"/>
        <v>-41.689145027800492</v>
      </c>
      <c r="L531" s="2" t="str">
        <f t="shared" si="56"/>
        <v>Normal</v>
      </c>
      <c r="M531" s="2" t="str">
        <f t="shared" si="57"/>
        <v>Normal</v>
      </c>
      <c r="N531" s="2" t="str">
        <f t="shared" si="58"/>
        <v>No</v>
      </c>
    </row>
    <row r="532" spans="1:14" x14ac:dyDescent="0.25">
      <c r="A532" s="3">
        <v>44243</v>
      </c>
      <c r="B532" s="4">
        <v>2021</v>
      </c>
      <c r="C532" s="5">
        <v>2910</v>
      </c>
      <c r="D532" s="5">
        <v>2940</v>
      </c>
      <c r="E532" s="5">
        <v>2860</v>
      </c>
      <c r="F532" s="5">
        <v>2870</v>
      </c>
      <c r="G532" s="5">
        <v>2367.81</v>
      </c>
      <c r="H532" s="6">
        <v>349266100</v>
      </c>
      <c r="I532" s="22" t="str">
        <f t="shared" si="59"/>
        <v>-</v>
      </c>
      <c r="J532" s="7">
        <f t="shared" si="60"/>
        <v>-1.0344827586206897</v>
      </c>
      <c r="K532" s="7">
        <f t="shared" si="61"/>
        <v>-3.4094010884574235</v>
      </c>
      <c r="L532" s="2" t="str">
        <f t="shared" si="56"/>
        <v>Normal</v>
      </c>
      <c r="M532" s="2" t="str">
        <f t="shared" si="57"/>
        <v>Normal</v>
      </c>
      <c r="N532" s="2" t="str">
        <f t="shared" si="58"/>
        <v>No</v>
      </c>
    </row>
    <row r="533" spans="1:14" x14ac:dyDescent="0.25">
      <c r="A533" s="3">
        <v>44244</v>
      </c>
      <c r="B533" s="4">
        <v>2021</v>
      </c>
      <c r="C533" s="5">
        <v>2870</v>
      </c>
      <c r="D533" s="5">
        <v>2890</v>
      </c>
      <c r="E533" s="5">
        <v>2720</v>
      </c>
      <c r="F533" s="5">
        <v>2750</v>
      </c>
      <c r="G533" s="5">
        <v>2268.81</v>
      </c>
      <c r="H533" s="6">
        <v>443154100</v>
      </c>
      <c r="I533" s="22" t="str">
        <f t="shared" si="59"/>
        <v>-</v>
      </c>
      <c r="J533" s="7">
        <f t="shared" si="60"/>
        <v>-4.1811846689895473</v>
      </c>
      <c r="K533" s="7">
        <f t="shared" si="61"/>
        <v>26.881509542437698</v>
      </c>
      <c r="L533" s="2" t="str">
        <f t="shared" si="56"/>
        <v>Normal</v>
      </c>
      <c r="M533" s="2" t="str">
        <f t="shared" si="57"/>
        <v>Normal</v>
      </c>
      <c r="N533" s="2" t="str">
        <f t="shared" si="58"/>
        <v>No</v>
      </c>
    </row>
    <row r="534" spans="1:14" x14ac:dyDescent="0.25">
      <c r="A534" s="3">
        <v>44245</v>
      </c>
      <c r="B534" s="4">
        <v>2021</v>
      </c>
      <c r="C534" s="5">
        <v>2700</v>
      </c>
      <c r="D534" s="5">
        <v>2820</v>
      </c>
      <c r="E534" s="5">
        <v>2670</v>
      </c>
      <c r="F534" s="5">
        <v>2780</v>
      </c>
      <c r="G534" s="5">
        <v>2293.56</v>
      </c>
      <c r="H534" s="6">
        <v>349948000</v>
      </c>
      <c r="I534" s="22" t="str">
        <f t="shared" si="59"/>
        <v>+</v>
      </c>
      <c r="J534" s="7">
        <f t="shared" si="60"/>
        <v>1.0909090909090911</v>
      </c>
      <c r="K534" s="7">
        <f t="shared" si="61"/>
        <v>-21.032435444013721</v>
      </c>
      <c r="L534" s="2" t="str">
        <f t="shared" si="56"/>
        <v>Normal</v>
      </c>
      <c r="M534" s="2" t="str">
        <f t="shared" si="57"/>
        <v>Normal</v>
      </c>
      <c r="N534" s="2" t="str">
        <f t="shared" si="58"/>
        <v>No</v>
      </c>
    </row>
    <row r="535" spans="1:14" x14ac:dyDescent="0.25">
      <c r="A535" s="3">
        <v>44246</v>
      </c>
      <c r="B535" s="4">
        <v>2021</v>
      </c>
      <c r="C535" s="5">
        <v>2800</v>
      </c>
      <c r="D535" s="5">
        <v>2910</v>
      </c>
      <c r="E535" s="5">
        <v>2730</v>
      </c>
      <c r="F535" s="5">
        <v>2880</v>
      </c>
      <c r="G535" s="5">
        <v>2376.06</v>
      </c>
      <c r="H535" s="6">
        <v>482821700</v>
      </c>
      <c r="I535" s="22" t="str">
        <f t="shared" si="59"/>
        <v>+</v>
      </c>
      <c r="J535" s="7">
        <f t="shared" si="60"/>
        <v>3.5971223021582732</v>
      </c>
      <c r="K535" s="7">
        <f t="shared" si="61"/>
        <v>37.969555476813696</v>
      </c>
      <c r="L535" s="2" t="str">
        <f t="shared" si="56"/>
        <v>Normal</v>
      </c>
      <c r="M535" s="2" t="str">
        <f t="shared" si="57"/>
        <v>Normal</v>
      </c>
      <c r="N535" s="2" t="str">
        <f t="shared" si="58"/>
        <v>No</v>
      </c>
    </row>
    <row r="536" spans="1:14" x14ac:dyDescent="0.25">
      <c r="A536" s="3">
        <v>44249</v>
      </c>
      <c r="B536" s="4">
        <v>2021</v>
      </c>
      <c r="C536" s="5">
        <v>2940</v>
      </c>
      <c r="D536" s="5">
        <v>3040</v>
      </c>
      <c r="E536" s="5">
        <v>2910</v>
      </c>
      <c r="F536" s="5">
        <v>2950</v>
      </c>
      <c r="G536" s="5">
        <v>2433.81</v>
      </c>
      <c r="H536" s="6">
        <v>834610300</v>
      </c>
      <c r="I536" s="22" t="str">
        <f t="shared" si="59"/>
        <v>+</v>
      </c>
      <c r="J536" s="7">
        <f t="shared" si="60"/>
        <v>2.4305555555555558</v>
      </c>
      <c r="K536" s="7">
        <f t="shared" si="61"/>
        <v>72.860975386980328</v>
      </c>
      <c r="L536" s="2" t="str">
        <f t="shared" si="56"/>
        <v>Normal</v>
      </c>
      <c r="M536" s="2" t="str">
        <f t="shared" si="57"/>
        <v>Normal</v>
      </c>
      <c r="N536" s="2" t="str">
        <f t="shared" si="58"/>
        <v>No</v>
      </c>
    </row>
    <row r="537" spans="1:14" x14ac:dyDescent="0.25">
      <c r="A537" s="3">
        <v>44250</v>
      </c>
      <c r="B537" s="4">
        <v>2021</v>
      </c>
      <c r="C537" s="5">
        <v>2940</v>
      </c>
      <c r="D537" s="5">
        <v>3010</v>
      </c>
      <c r="E537" s="5">
        <v>2920</v>
      </c>
      <c r="F537" s="5">
        <v>2940</v>
      </c>
      <c r="G537" s="5">
        <v>2425.56</v>
      </c>
      <c r="H537" s="6">
        <v>327105100</v>
      </c>
      <c r="I537" s="22" t="str">
        <f t="shared" si="59"/>
        <v>-</v>
      </c>
      <c r="J537" s="7">
        <f t="shared" si="60"/>
        <v>-0.33898305084745761</v>
      </c>
      <c r="K537" s="7">
        <f t="shared" si="61"/>
        <v>-60.807445103421323</v>
      </c>
      <c r="L537" s="2" t="str">
        <f t="shared" si="56"/>
        <v>Normal</v>
      </c>
      <c r="M537" s="2" t="str">
        <f t="shared" si="57"/>
        <v>Sharp Volume Decrease</v>
      </c>
      <c r="N537" s="2" t="str">
        <f t="shared" si="58"/>
        <v>No</v>
      </c>
    </row>
    <row r="538" spans="1:14" x14ac:dyDescent="0.25">
      <c r="A538" s="3">
        <v>44251</v>
      </c>
      <c r="B538" s="4">
        <v>2021</v>
      </c>
      <c r="C538" s="5">
        <v>2930</v>
      </c>
      <c r="D538" s="5">
        <v>2970</v>
      </c>
      <c r="E538" s="5">
        <v>2820</v>
      </c>
      <c r="F538" s="5">
        <v>2910</v>
      </c>
      <c r="G538" s="5">
        <v>2400.81</v>
      </c>
      <c r="H538" s="6">
        <v>386381000</v>
      </c>
      <c r="I538" s="22" t="str">
        <f t="shared" si="59"/>
        <v>-</v>
      </c>
      <c r="J538" s="7">
        <f t="shared" si="60"/>
        <v>-1.0204081632653061</v>
      </c>
      <c r="K538" s="7">
        <f t="shared" si="61"/>
        <v>18.12136221660867</v>
      </c>
      <c r="L538" s="2" t="str">
        <f t="shared" si="56"/>
        <v>Normal</v>
      </c>
      <c r="M538" s="2" t="str">
        <f t="shared" si="57"/>
        <v>Normal</v>
      </c>
      <c r="N538" s="2" t="str">
        <f t="shared" si="58"/>
        <v>No</v>
      </c>
    </row>
    <row r="539" spans="1:14" x14ac:dyDescent="0.25">
      <c r="A539" s="3">
        <v>44252</v>
      </c>
      <c r="B539" s="4">
        <v>2021</v>
      </c>
      <c r="C539" s="5">
        <v>2970</v>
      </c>
      <c r="D539" s="5">
        <v>3010</v>
      </c>
      <c r="E539" s="5">
        <v>2940</v>
      </c>
      <c r="F539" s="5">
        <v>2960</v>
      </c>
      <c r="G539" s="5">
        <v>2442.06</v>
      </c>
      <c r="H539" s="6">
        <v>346787800</v>
      </c>
      <c r="I539" s="22" t="str">
        <f t="shared" si="59"/>
        <v>+</v>
      </c>
      <c r="J539" s="7">
        <f t="shared" si="60"/>
        <v>1.7182130584192441</v>
      </c>
      <c r="K539" s="7">
        <f t="shared" si="61"/>
        <v>-10.247191243875864</v>
      </c>
      <c r="L539" s="2" t="str">
        <f t="shared" si="56"/>
        <v>Normal</v>
      </c>
      <c r="M539" s="2" t="str">
        <f t="shared" si="57"/>
        <v>Normal</v>
      </c>
      <c r="N539" s="2" t="str">
        <f t="shared" si="58"/>
        <v>No</v>
      </c>
    </row>
    <row r="540" spans="1:14" x14ac:dyDescent="0.25">
      <c r="A540" s="3">
        <v>44253</v>
      </c>
      <c r="B540" s="4">
        <v>2021</v>
      </c>
      <c r="C540" s="5">
        <v>2840</v>
      </c>
      <c r="D540" s="5">
        <v>2890</v>
      </c>
      <c r="E540" s="5">
        <v>2780</v>
      </c>
      <c r="F540" s="5">
        <v>2840</v>
      </c>
      <c r="G540" s="5">
        <v>2343.06</v>
      </c>
      <c r="H540" s="6">
        <v>1305042600</v>
      </c>
      <c r="I540" s="22" t="str">
        <f t="shared" si="59"/>
        <v>-</v>
      </c>
      <c r="J540" s="7">
        <f t="shared" si="60"/>
        <v>-4.0540540540540544</v>
      </c>
      <c r="K540" s="7">
        <f t="shared" si="61"/>
        <v>276.32310017826461</v>
      </c>
      <c r="L540" s="2" t="str">
        <f t="shared" si="56"/>
        <v>Normal</v>
      </c>
      <c r="M540" s="2" t="str">
        <f t="shared" si="57"/>
        <v>Sharp Volume Increase</v>
      </c>
      <c r="N540" s="2" t="str">
        <f t="shared" si="58"/>
        <v>No</v>
      </c>
    </row>
    <row r="541" spans="1:14" x14ac:dyDescent="0.25">
      <c r="A541" s="3">
        <v>44256</v>
      </c>
      <c r="B541" s="4">
        <v>2021</v>
      </c>
      <c r="C541" s="5">
        <v>2850</v>
      </c>
      <c r="D541" s="5">
        <v>2880</v>
      </c>
      <c r="E541" s="5">
        <v>2810</v>
      </c>
      <c r="F541" s="5">
        <v>2840</v>
      </c>
      <c r="G541" s="5">
        <v>2343.06</v>
      </c>
      <c r="H541" s="6">
        <v>166782500</v>
      </c>
      <c r="I541" s="22" t="str">
        <f t="shared" si="59"/>
        <v>0</v>
      </c>
      <c r="J541" s="7">
        <f t="shared" si="60"/>
        <v>0</v>
      </c>
      <c r="K541" s="7">
        <f t="shared" si="61"/>
        <v>-87.220148982109862</v>
      </c>
      <c r="L541" s="2" t="str">
        <f t="shared" si="56"/>
        <v>Normal</v>
      </c>
      <c r="M541" s="2" t="str">
        <f t="shared" si="57"/>
        <v>Sharp Volume Decrease</v>
      </c>
      <c r="N541" s="2" t="str">
        <f t="shared" si="58"/>
        <v>No</v>
      </c>
    </row>
    <row r="542" spans="1:14" x14ac:dyDescent="0.25">
      <c r="A542" s="3">
        <v>44257</v>
      </c>
      <c r="B542" s="4">
        <v>2021</v>
      </c>
      <c r="C542" s="5">
        <v>2840</v>
      </c>
      <c r="D542" s="5">
        <v>2850</v>
      </c>
      <c r="E542" s="5">
        <v>2720</v>
      </c>
      <c r="F542" s="5">
        <v>2730</v>
      </c>
      <c r="G542" s="5">
        <v>2252.31</v>
      </c>
      <c r="H542" s="6">
        <v>298489400</v>
      </c>
      <c r="I542" s="22" t="str">
        <f t="shared" si="59"/>
        <v>-</v>
      </c>
      <c r="J542" s="7">
        <f t="shared" si="60"/>
        <v>-3.873239436619718</v>
      </c>
      <c r="K542" s="7">
        <f t="shared" si="61"/>
        <v>78.969256366825064</v>
      </c>
      <c r="L542" s="2" t="str">
        <f t="shared" si="56"/>
        <v>Normal</v>
      </c>
      <c r="M542" s="2" t="str">
        <f t="shared" si="57"/>
        <v>Normal</v>
      </c>
      <c r="N542" s="2" t="str">
        <f t="shared" si="58"/>
        <v>No</v>
      </c>
    </row>
    <row r="543" spans="1:14" x14ac:dyDescent="0.25">
      <c r="A543" s="3">
        <v>44258</v>
      </c>
      <c r="B543" s="4">
        <v>2021</v>
      </c>
      <c r="C543" s="5">
        <v>2770</v>
      </c>
      <c r="D543" s="5">
        <v>2770</v>
      </c>
      <c r="E543" s="5">
        <v>2670</v>
      </c>
      <c r="F543" s="5">
        <v>2700</v>
      </c>
      <c r="G543" s="5">
        <v>2227.5500000000002</v>
      </c>
      <c r="H543" s="6">
        <v>192152700</v>
      </c>
      <c r="I543" s="22" t="str">
        <f t="shared" si="59"/>
        <v>-</v>
      </c>
      <c r="J543" s="7">
        <f t="shared" si="60"/>
        <v>-1.098901098901099</v>
      </c>
      <c r="K543" s="7">
        <f t="shared" si="61"/>
        <v>-35.624950165734532</v>
      </c>
      <c r="L543" s="2" t="str">
        <f t="shared" si="56"/>
        <v>Normal</v>
      </c>
      <c r="M543" s="2" t="str">
        <f t="shared" si="57"/>
        <v>Normal</v>
      </c>
      <c r="N543" s="2" t="str">
        <f t="shared" si="58"/>
        <v>No</v>
      </c>
    </row>
    <row r="544" spans="1:14" x14ac:dyDescent="0.25">
      <c r="A544" s="3">
        <v>44259</v>
      </c>
      <c r="B544" s="4">
        <v>2021</v>
      </c>
      <c r="C544" s="5">
        <v>2520</v>
      </c>
      <c r="D544" s="5">
        <v>2590</v>
      </c>
      <c r="E544" s="5">
        <v>2520</v>
      </c>
      <c r="F544" s="5">
        <v>2520</v>
      </c>
      <c r="G544" s="5">
        <v>2079.0500000000002</v>
      </c>
      <c r="H544" s="6">
        <v>466387000</v>
      </c>
      <c r="I544" s="22" t="str">
        <f t="shared" si="59"/>
        <v>-</v>
      </c>
      <c r="J544" s="7">
        <f t="shared" si="60"/>
        <v>-6.666666666666667</v>
      </c>
      <c r="K544" s="7">
        <f t="shared" si="61"/>
        <v>142.7168600805505</v>
      </c>
      <c r="L544" s="2" t="str">
        <f t="shared" si="56"/>
        <v>Sharp Price Decrease</v>
      </c>
      <c r="M544" s="2" t="str">
        <f t="shared" si="57"/>
        <v>Normal</v>
      </c>
      <c r="N544" s="2" t="str">
        <f t="shared" si="58"/>
        <v>No</v>
      </c>
    </row>
    <row r="545" spans="1:14" x14ac:dyDescent="0.25">
      <c r="A545" s="3">
        <v>44260</v>
      </c>
      <c r="B545" s="4">
        <v>2021</v>
      </c>
      <c r="C545" s="5">
        <v>2370</v>
      </c>
      <c r="D545" s="5">
        <v>2520</v>
      </c>
      <c r="E545" s="5">
        <v>2350</v>
      </c>
      <c r="F545" s="5">
        <v>2420</v>
      </c>
      <c r="G545" s="5">
        <v>1996.55</v>
      </c>
      <c r="H545" s="6">
        <v>745024700</v>
      </c>
      <c r="I545" s="22" t="str">
        <f t="shared" si="59"/>
        <v>-</v>
      </c>
      <c r="J545" s="7">
        <f t="shared" si="60"/>
        <v>-3.9682539682539679</v>
      </c>
      <c r="K545" s="7">
        <f t="shared" si="61"/>
        <v>59.743882226562917</v>
      </c>
      <c r="L545" s="2" t="str">
        <f t="shared" si="56"/>
        <v>Normal</v>
      </c>
      <c r="M545" s="2" t="str">
        <f t="shared" si="57"/>
        <v>Normal</v>
      </c>
      <c r="N545" s="2" t="str">
        <f t="shared" si="58"/>
        <v>No</v>
      </c>
    </row>
    <row r="546" spans="1:14" x14ac:dyDescent="0.25">
      <c r="A546" s="3">
        <v>44263</v>
      </c>
      <c r="B546" s="4">
        <v>2021</v>
      </c>
      <c r="C546" s="5">
        <v>2490</v>
      </c>
      <c r="D546" s="5">
        <v>2500</v>
      </c>
      <c r="E546" s="5">
        <v>2270</v>
      </c>
      <c r="F546" s="5">
        <v>2280</v>
      </c>
      <c r="G546" s="5">
        <v>1881.05</v>
      </c>
      <c r="H546" s="6">
        <v>476947100</v>
      </c>
      <c r="I546" s="22" t="str">
        <f t="shared" si="59"/>
        <v>-</v>
      </c>
      <c r="J546" s="7">
        <f t="shared" si="60"/>
        <v>-5.785123966942149</v>
      </c>
      <c r="K546" s="7">
        <f t="shared" si="61"/>
        <v>-35.982377497014525</v>
      </c>
      <c r="L546" s="2" t="str">
        <f t="shared" si="56"/>
        <v>Sharp Price Decrease</v>
      </c>
      <c r="M546" s="2" t="str">
        <f t="shared" si="57"/>
        <v>Normal</v>
      </c>
      <c r="N546" s="2" t="str">
        <f t="shared" si="58"/>
        <v>No</v>
      </c>
    </row>
    <row r="547" spans="1:14" x14ac:dyDescent="0.25">
      <c r="A547" s="3">
        <v>44264</v>
      </c>
      <c r="B547" s="4">
        <v>2021</v>
      </c>
      <c r="C547" s="5">
        <v>2280</v>
      </c>
      <c r="D547" s="5">
        <v>2360</v>
      </c>
      <c r="E547" s="5">
        <v>2180</v>
      </c>
      <c r="F547" s="5">
        <v>2230</v>
      </c>
      <c r="G547" s="5">
        <v>1839.8</v>
      </c>
      <c r="H547" s="6">
        <v>515109500</v>
      </c>
      <c r="I547" s="22" t="str">
        <f t="shared" si="59"/>
        <v>-</v>
      </c>
      <c r="J547" s="7">
        <f t="shared" si="60"/>
        <v>-2.1929824561403506</v>
      </c>
      <c r="K547" s="7">
        <f t="shared" si="61"/>
        <v>8.0013905106037964</v>
      </c>
      <c r="L547" s="2" t="str">
        <f t="shared" si="56"/>
        <v>Normal</v>
      </c>
      <c r="M547" s="2" t="str">
        <f t="shared" si="57"/>
        <v>Normal</v>
      </c>
      <c r="N547" s="2" t="str">
        <f t="shared" si="58"/>
        <v>No</v>
      </c>
    </row>
    <row r="548" spans="1:14" x14ac:dyDescent="0.25">
      <c r="A548" s="3">
        <v>44265</v>
      </c>
      <c r="B548" s="4">
        <v>2021</v>
      </c>
      <c r="C548" s="5">
        <v>2260</v>
      </c>
      <c r="D548" s="5">
        <v>2280</v>
      </c>
      <c r="E548" s="5">
        <v>2170</v>
      </c>
      <c r="F548" s="5">
        <v>2230</v>
      </c>
      <c r="G548" s="5">
        <v>1839.8</v>
      </c>
      <c r="H548" s="6">
        <v>193024600</v>
      </c>
      <c r="I548" s="22" t="str">
        <f t="shared" si="59"/>
        <v>0</v>
      </c>
      <c r="J548" s="7">
        <f t="shared" si="60"/>
        <v>0</v>
      </c>
      <c r="K548" s="7">
        <f t="shared" si="61"/>
        <v>-62.527462607465012</v>
      </c>
      <c r="L548" s="2" t="str">
        <f t="shared" si="56"/>
        <v>Normal</v>
      </c>
      <c r="M548" s="2" t="str">
        <f t="shared" si="57"/>
        <v>Sharp Volume Decrease</v>
      </c>
      <c r="N548" s="2" t="str">
        <f t="shared" si="58"/>
        <v>No</v>
      </c>
    </row>
    <row r="549" spans="1:14" x14ac:dyDescent="0.25">
      <c r="A549" s="3">
        <v>44267</v>
      </c>
      <c r="B549" s="4">
        <v>2021</v>
      </c>
      <c r="C549" s="5">
        <v>2280</v>
      </c>
      <c r="D549" s="5">
        <v>2440</v>
      </c>
      <c r="E549" s="5">
        <v>2280</v>
      </c>
      <c r="F549" s="5">
        <v>2420</v>
      </c>
      <c r="G549" s="5">
        <v>1996.55</v>
      </c>
      <c r="H549" s="6">
        <v>537855700</v>
      </c>
      <c r="I549" s="22" t="str">
        <f t="shared" si="59"/>
        <v>+</v>
      </c>
      <c r="J549" s="7">
        <f t="shared" si="60"/>
        <v>8.5201793721973083</v>
      </c>
      <c r="K549" s="7">
        <f t="shared" si="61"/>
        <v>178.64619328313594</v>
      </c>
      <c r="L549" s="2" t="str">
        <f t="shared" si="56"/>
        <v>Sharp Price Increase</v>
      </c>
      <c r="M549" s="2" t="str">
        <f t="shared" si="57"/>
        <v>Sharp Volume Increase</v>
      </c>
      <c r="N549" s="2" t="str">
        <f t="shared" si="58"/>
        <v>Yes</v>
      </c>
    </row>
    <row r="550" spans="1:14" x14ac:dyDescent="0.25">
      <c r="A550" s="3">
        <v>44270</v>
      </c>
      <c r="B550" s="4">
        <v>2021</v>
      </c>
      <c r="C550" s="5">
        <v>2430</v>
      </c>
      <c r="D550" s="5">
        <v>2450</v>
      </c>
      <c r="E550" s="5">
        <v>2280</v>
      </c>
      <c r="F550" s="5">
        <v>2340</v>
      </c>
      <c r="G550" s="5">
        <v>1930.55</v>
      </c>
      <c r="H550" s="6">
        <v>371987500</v>
      </c>
      <c r="I550" s="22" t="str">
        <f t="shared" si="59"/>
        <v>-</v>
      </c>
      <c r="J550" s="7">
        <f t="shared" si="60"/>
        <v>-3.3057851239669422</v>
      </c>
      <c r="K550" s="7">
        <f t="shared" si="61"/>
        <v>-30.838791891579842</v>
      </c>
      <c r="L550" s="2" t="str">
        <f t="shared" si="56"/>
        <v>Normal</v>
      </c>
      <c r="M550" s="2" t="str">
        <f t="shared" si="57"/>
        <v>Normal</v>
      </c>
      <c r="N550" s="2" t="str">
        <f t="shared" si="58"/>
        <v>No</v>
      </c>
    </row>
    <row r="551" spans="1:14" x14ac:dyDescent="0.25">
      <c r="A551" s="3">
        <v>44271</v>
      </c>
      <c r="B551" s="4">
        <v>2021</v>
      </c>
      <c r="C551" s="5">
        <v>2350</v>
      </c>
      <c r="D551" s="5">
        <v>2350</v>
      </c>
      <c r="E551" s="5">
        <v>2240</v>
      </c>
      <c r="F551" s="5">
        <v>2270</v>
      </c>
      <c r="G551" s="5">
        <v>1872.8</v>
      </c>
      <c r="H551" s="6">
        <v>231241100</v>
      </c>
      <c r="I551" s="22" t="str">
        <f t="shared" si="59"/>
        <v>-</v>
      </c>
      <c r="J551" s="7">
        <f t="shared" si="60"/>
        <v>-2.9914529914529915</v>
      </c>
      <c r="K551" s="7">
        <f t="shared" si="61"/>
        <v>-37.836325145334179</v>
      </c>
      <c r="L551" s="2" t="str">
        <f t="shared" si="56"/>
        <v>Normal</v>
      </c>
      <c r="M551" s="2" t="str">
        <f t="shared" si="57"/>
        <v>Normal</v>
      </c>
      <c r="N551" s="2" t="str">
        <f t="shared" si="58"/>
        <v>No</v>
      </c>
    </row>
    <row r="552" spans="1:14" x14ac:dyDescent="0.25">
      <c r="A552" s="3">
        <v>44272</v>
      </c>
      <c r="B552" s="4">
        <v>2021</v>
      </c>
      <c r="C552" s="5">
        <v>2290</v>
      </c>
      <c r="D552" s="5">
        <v>2330</v>
      </c>
      <c r="E552" s="5">
        <v>2260</v>
      </c>
      <c r="F552" s="5">
        <v>2300</v>
      </c>
      <c r="G552" s="5">
        <v>1897.55</v>
      </c>
      <c r="H552" s="6">
        <v>147188700</v>
      </c>
      <c r="I552" s="22" t="str">
        <f t="shared" si="59"/>
        <v>+</v>
      </c>
      <c r="J552" s="7">
        <f t="shared" si="60"/>
        <v>1.3215859030837005</v>
      </c>
      <c r="K552" s="7">
        <f t="shared" si="61"/>
        <v>-36.34838270532358</v>
      </c>
      <c r="L552" s="2" t="str">
        <f t="shared" si="56"/>
        <v>Normal</v>
      </c>
      <c r="M552" s="2" t="str">
        <f t="shared" si="57"/>
        <v>Normal</v>
      </c>
      <c r="N552" s="2" t="str">
        <f t="shared" si="58"/>
        <v>No</v>
      </c>
    </row>
    <row r="553" spans="1:14" x14ac:dyDescent="0.25">
      <c r="A553" s="3">
        <v>44273</v>
      </c>
      <c r="B553" s="4">
        <v>2021</v>
      </c>
      <c r="C553" s="5">
        <v>2350</v>
      </c>
      <c r="D553" s="5">
        <v>2350</v>
      </c>
      <c r="E553" s="5">
        <v>2270</v>
      </c>
      <c r="F553" s="5">
        <v>2290</v>
      </c>
      <c r="G553" s="5">
        <v>1889.3</v>
      </c>
      <c r="H553" s="6">
        <v>149549500</v>
      </c>
      <c r="I553" s="22" t="str">
        <f t="shared" si="59"/>
        <v>-</v>
      </c>
      <c r="J553" s="7">
        <f t="shared" si="60"/>
        <v>-0.43478260869565216</v>
      </c>
      <c r="K553" s="7">
        <f t="shared" si="61"/>
        <v>1.6039274754108162</v>
      </c>
      <c r="L553" s="2" t="str">
        <f t="shared" si="56"/>
        <v>Normal</v>
      </c>
      <c r="M553" s="2" t="str">
        <f t="shared" si="57"/>
        <v>Normal</v>
      </c>
      <c r="N553" s="2" t="str">
        <f t="shared" si="58"/>
        <v>No</v>
      </c>
    </row>
    <row r="554" spans="1:14" x14ac:dyDescent="0.25">
      <c r="A554" s="3">
        <v>44274</v>
      </c>
      <c r="B554" s="4">
        <v>2021</v>
      </c>
      <c r="C554" s="5">
        <v>2270</v>
      </c>
      <c r="D554" s="5">
        <v>2280</v>
      </c>
      <c r="E554" s="5">
        <v>2210</v>
      </c>
      <c r="F554" s="5">
        <v>2250</v>
      </c>
      <c r="G554" s="5">
        <v>1856.3</v>
      </c>
      <c r="H554" s="6">
        <v>123414100</v>
      </c>
      <c r="I554" s="22" t="str">
        <f t="shared" si="59"/>
        <v>-</v>
      </c>
      <c r="J554" s="7">
        <f t="shared" si="60"/>
        <v>-1.7467248908296942</v>
      </c>
      <c r="K554" s="7">
        <f t="shared" si="61"/>
        <v>-17.476086513161192</v>
      </c>
      <c r="L554" s="2" t="str">
        <f t="shared" si="56"/>
        <v>Normal</v>
      </c>
      <c r="M554" s="2" t="str">
        <f t="shared" si="57"/>
        <v>Normal</v>
      </c>
      <c r="N554" s="2" t="str">
        <f t="shared" si="58"/>
        <v>No</v>
      </c>
    </row>
    <row r="555" spans="1:14" x14ac:dyDescent="0.25">
      <c r="A555" s="3">
        <v>44277</v>
      </c>
      <c r="B555" s="4">
        <v>2021</v>
      </c>
      <c r="C555" s="5">
        <v>2260</v>
      </c>
      <c r="D555" s="5">
        <v>2340</v>
      </c>
      <c r="E555" s="5">
        <v>2250</v>
      </c>
      <c r="F555" s="5">
        <v>2260</v>
      </c>
      <c r="G555" s="5">
        <v>1864.55</v>
      </c>
      <c r="H555" s="6">
        <v>125924600</v>
      </c>
      <c r="I555" s="22" t="str">
        <f t="shared" si="59"/>
        <v>+</v>
      </c>
      <c r="J555" s="7">
        <f t="shared" si="60"/>
        <v>0.44444444444444442</v>
      </c>
      <c r="K555" s="7">
        <f t="shared" si="61"/>
        <v>2.0342084089257222</v>
      </c>
      <c r="L555" s="2" t="str">
        <f t="shared" si="56"/>
        <v>Normal</v>
      </c>
      <c r="M555" s="2" t="str">
        <f t="shared" si="57"/>
        <v>Normal</v>
      </c>
      <c r="N555" s="2" t="str">
        <f t="shared" si="58"/>
        <v>No</v>
      </c>
    </row>
    <row r="556" spans="1:14" x14ac:dyDescent="0.25">
      <c r="A556" s="3">
        <v>44278</v>
      </c>
      <c r="B556" s="4">
        <v>2021</v>
      </c>
      <c r="C556" s="5">
        <v>2300</v>
      </c>
      <c r="D556" s="5">
        <v>2310</v>
      </c>
      <c r="E556" s="5">
        <v>2220</v>
      </c>
      <c r="F556" s="5">
        <v>2270</v>
      </c>
      <c r="G556" s="5">
        <v>1872.8</v>
      </c>
      <c r="H556" s="6">
        <v>141239100</v>
      </c>
      <c r="I556" s="22" t="str">
        <f t="shared" si="59"/>
        <v>+</v>
      </c>
      <c r="J556" s="7">
        <f t="shared" si="60"/>
        <v>0.44247787610619471</v>
      </c>
      <c r="K556" s="7">
        <f t="shared" si="61"/>
        <v>12.161642760826718</v>
      </c>
      <c r="L556" s="2" t="str">
        <f t="shared" si="56"/>
        <v>Normal</v>
      </c>
      <c r="M556" s="2" t="str">
        <f t="shared" si="57"/>
        <v>Normal</v>
      </c>
      <c r="N556" s="2" t="str">
        <f t="shared" si="58"/>
        <v>No</v>
      </c>
    </row>
    <row r="557" spans="1:14" x14ac:dyDescent="0.25">
      <c r="A557" s="3">
        <v>44279</v>
      </c>
      <c r="B557" s="4">
        <v>2021</v>
      </c>
      <c r="C557" s="5">
        <v>2250</v>
      </c>
      <c r="D557" s="5">
        <v>2250</v>
      </c>
      <c r="E557" s="5">
        <v>2170</v>
      </c>
      <c r="F557" s="5">
        <v>2170</v>
      </c>
      <c r="G557" s="5">
        <v>1790.29</v>
      </c>
      <c r="H557" s="6">
        <v>156928900</v>
      </c>
      <c r="I557" s="22" t="str">
        <f t="shared" si="59"/>
        <v>-</v>
      </c>
      <c r="J557" s="7">
        <f t="shared" si="60"/>
        <v>-4.4052863436123353</v>
      </c>
      <c r="K557" s="7">
        <f t="shared" si="61"/>
        <v>11.108680245059618</v>
      </c>
      <c r="L557" s="2" t="str">
        <f t="shared" si="56"/>
        <v>Sharp Price Decrease</v>
      </c>
      <c r="M557" s="2" t="str">
        <f t="shared" si="57"/>
        <v>Normal</v>
      </c>
      <c r="N557" s="2" t="str">
        <f t="shared" si="58"/>
        <v>No</v>
      </c>
    </row>
    <row r="558" spans="1:14" x14ac:dyDescent="0.25">
      <c r="A558" s="3">
        <v>44280</v>
      </c>
      <c r="B558" s="4">
        <v>2021</v>
      </c>
      <c r="C558" s="5">
        <v>2170</v>
      </c>
      <c r="D558" s="5">
        <v>2230</v>
      </c>
      <c r="E558" s="5">
        <v>2100</v>
      </c>
      <c r="F558" s="5">
        <v>2180</v>
      </c>
      <c r="G558" s="5">
        <v>1798.54</v>
      </c>
      <c r="H558" s="6">
        <v>191883200</v>
      </c>
      <c r="I558" s="22" t="str">
        <f t="shared" si="59"/>
        <v>+</v>
      </c>
      <c r="J558" s="7">
        <f t="shared" si="60"/>
        <v>0.46082949308755761</v>
      </c>
      <c r="K558" s="7">
        <f t="shared" si="61"/>
        <v>22.273972480530993</v>
      </c>
      <c r="L558" s="2" t="str">
        <f t="shared" si="56"/>
        <v>Normal</v>
      </c>
      <c r="M558" s="2" t="str">
        <f t="shared" si="57"/>
        <v>Normal</v>
      </c>
      <c r="N558" s="2" t="str">
        <f t="shared" si="58"/>
        <v>No</v>
      </c>
    </row>
    <row r="559" spans="1:14" x14ac:dyDescent="0.25">
      <c r="A559" s="3">
        <v>44281</v>
      </c>
      <c r="B559" s="4">
        <v>2021</v>
      </c>
      <c r="C559" s="5">
        <v>2230</v>
      </c>
      <c r="D559" s="5">
        <v>2440</v>
      </c>
      <c r="E559" s="5">
        <v>2200</v>
      </c>
      <c r="F559" s="5">
        <v>2430</v>
      </c>
      <c r="G559" s="5">
        <v>2004.8</v>
      </c>
      <c r="H559" s="6">
        <v>652293400</v>
      </c>
      <c r="I559" s="22" t="str">
        <f t="shared" si="59"/>
        <v>+</v>
      </c>
      <c r="J559" s="7">
        <f t="shared" si="60"/>
        <v>11.467889908256881</v>
      </c>
      <c r="K559" s="7">
        <f t="shared" si="61"/>
        <v>239.94294445787853</v>
      </c>
      <c r="L559" s="2" t="str">
        <f t="shared" si="56"/>
        <v>Sharp Price Increase</v>
      </c>
      <c r="M559" s="2" t="str">
        <f t="shared" si="57"/>
        <v>Sharp Volume Increase</v>
      </c>
      <c r="N559" s="2" t="str">
        <f t="shared" si="58"/>
        <v>Yes</v>
      </c>
    </row>
    <row r="560" spans="1:14" x14ac:dyDescent="0.25">
      <c r="A560" s="3">
        <v>44284</v>
      </c>
      <c r="B560" s="4">
        <v>2021</v>
      </c>
      <c r="C560" s="5">
        <v>2430</v>
      </c>
      <c r="D560" s="5">
        <v>2430</v>
      </c>
      <c r="E560" s="5">
        <v>2260</v>
      </c>
      <c r="F560" s="5">
        <v>2260</v>
      </c>
      <c r="G560" s="5">
        <v>1864.55</v>
      </c>
      <c r="H560" s="6">
        <v>454909500</v>
      </c>
      <c r="I560" s="22" t="str">
        <f t="shared" si="59"/>
        <v>-</v>
      </c>
      <c r="J560" s="7">
        <f t="shared" si="60"/>
        <v>-6.9958847736625511</v>
      </c>
      <c r="K560" s="7">
        <f t="shared" si="61"/>
        <v>-30.259987300193441</v>
      </c>
      <c r="L560" s="2" t="str">
        <f t="shared" si="56"/>
        <v>Sharp Price Decrease</v>
      </c>
      <c r="M560" s="2" t="str">
        <f t="shared" si="57"/>
        <v>Normal</v>
      </c>
      <c r="N560" s="2" t="str">
        <f t="shared" si="58"/>
        <v>No</v>
      </c>
    </row>
    <row r="561" spans="1:14" x14ac:dyDescent="0.25">
      <c r="A561" s="3">
        <v>44285</v>
      </c>
      <c r="B561" s="4">
        <v>2021</v>
      </c>
      <c r="C561" s="5">
        <v>2270</v>
      </c>
      <c r="D561" s="5">
        <v>2320</v>
      </c>
      <c r="E561" s="5">
        <v>2160</v>
      </c>
      <c r="F561" s="5">
        <v>2210</v>
      </c>
      <c r="G561" s="5">
        <v>1823.29</v>
      </c>
      <c r="H561" s="6">
        <v>282270900</v>
      </c>
      <c r="I561" s="22" t="str">
        <f t="shared" si="59"/>
        <v>-</v>
      </c>
      <c r="J561" s="7">
        <f t="shared" si="60"/>
        <v>-2.2123893805309733</v>
      </c>
      <c r="K561" s="7">
        <f t="shared" si="61"/>
        <v>-37.950097766698647</v>
      </c>
      <c r="L561" s="2" t="str">
        <f t="shared" si="56"/>
        <v>Normal</v>
      </c>
      <c r="M561" s="2" t="str">
        <f t="shared" si="57"/>
        <v>Normal</v>
      </c>
      <c r="N561" s="2" t="str">
        <f t="shared" si="58"/>
        <v>No</v>
      </c>
    </row>
    <row r="562" spans="1:14" x14ac:dyDescent="0.25">
      <c r="A562" s="3">
        <v>44286</v>
      </c>
      <c r="B562" s="4">
        <v>2021</v>
      </c>
      <c r="C562" s="5">
        <v>2180</v>
      </c>
      <c r="D562" s="5">
        <v>2250</v>
      </c>
      <c r="E562" s="5">
        <v>2130</v>
      </c>
      <c r="F562" s="5">
        <v>2250</v>
      </c>
      <c r="G562" s="5">
        <v>1856.3</v>
      </c>
      <c r="H562" s="6">
        <v>268981300</v>
      </c>
      <c r="I562" s="22" t="str">
        <f t="shared" si="59"/>
        <v>+</v>
      </c>
      <c r="J562" s="7">
        <f t="shared" si="60"/>
        <v>1.809954751131222</v>
      </c>
      <c r="K562" s="7">
        <f t="shared" si="61"/>
        <v>-4.70810133102633</v>
      </c>
      <c r="L562" s="2" t="str">
        <f t="shared" si="56"/>
        <v>Normal</v>
      </c>
      <c r="M562" s="2" t="str">
        <f t="shared" si="57"/>
        <v>Normal</v>
      </c>
      <c r="N562" s="2" t="str">
        <f t="shared" si="58"/>
        <v>No</v>
      </c>
    </row>
    <row r="563" spans="1:14" x14ac:dyDescent="0.25">
      <c r="A563" s="3">
        <v>44287</v>
      </c>
      <c r="B563" s="4">
        <v>2021</v>
      </c>
      <c r="C563" s="5">
        <v>2290</v>
      </c>
      <c r="D563" s="5">
        <v>2300</v>
      </c>
      <c r="E563" s="5">
        <v>2200</v>
      </c>
      <c r="F563" s="5">
        <v>2240</v>
      </c>
      <c r="G563" s="5">
        <v>1848.05</v>
      </c>
      <c r="H563" s="6">
        <v>160897600</v>
      </c>
      <c r="I563" s="22" t="str">
        <f t="shared" si="59"/>
        <v>-</v>
      </c>
      <c r="J563" s="7">
        <f t="shared" si="60"/>
        <v>-0.44444444444444442</v>
      </c>
      <c r="K563" s="7">
        <f t="shared" si="61"/>
        <v>-40.182607489814345</v>
      </c>
      <c r="L563" s="2" t="str">
        <f t="shared" si="56"/>
        <v>Normal</v>
      </c>
      <c r="M563" s="2" t="str">
        <f t="shared" si="57"/>
        <v>Normal</v>
      </c>
      <c r="N563" s="2" t="str">
        <f t="shared" si="58"/>
        <v>No</v>
      </c>
    </row>
    <row r="564" spans="1:14" x14ac:dyDescent="0.25">
      <c r="A564" s="3">
        <v>44291</v>
      </c>
      <c r="B564" s="4">
        <v>2021</v>
      </c>
      <c r="C564" s="5">
        <v>2280</v>
      </c>
      <c r="D564" s="5">
        <v>2280</v>
      </c>
      <c r="E564" s="5">
        <v>2190</v>
      </c>
      <c r="F564" s="5">
        <v>2200</v>
      </c>
      <c r="G564" s="5">
        <v>1815.04</v>
      </c>
      <c r="H564" s="6">
        <v>107349400</v>
      </c>
      <c r="I564" s="22" t="str">
        <f t="shared" si="59"/>
        <v>-</v>
      </c>
      <c r="J564" s="7">
        <f t="shared" si="60"/>
        <v>-1.7857142857142856</v>
      </c>
      <c r="K564" s="7">
        <f t="shared" si="61"/>
        <v>-33.280919044162246</v>
      </c>
      <c r="L564" s="2" t="str">
        <f t="shared" si="56"/>
        <v>Normal</v>
      </c>
      <c r="M564" s="2" t="str">
        <f t="shared" si="57"/>
        <v>Normal</v>
      </c>
      <c r="N564" s="2" t="str">
        <f t="shared" si="58"/>
        <v>No</v>
      </c>
    </row>
    <row r="565" spans="1:14" x14ac:dyDescent="0.25">
      <c r="A565" s="3">
        <v>44292</v>
      </c>
      <c r="B565" s="4">
        <v>2021</v>
      </c>
      <c r="C565" s="5">
        <v>2250</v>
      </c>
      <c r="D565" s="5">
        <v>2340</v>
      </c>
      <c r="E565" s="5">
        <v>2210</v>
      </c>
      <c r="F565" s="5">
        <v>2330</v>
      </c>
      <c r="G565" s="5">
        <v>1922.3</v>
      </c>
      <c r="H565" s="6">
        <v>323980600</v>
      </c>
      <c r="I565" s="22" t="str">
        <f t="shared" si="59"/>
        <v>+</v>
      </c>
      <c r="J565" s="7">
        <f t="shared" si="60"/>
        <v>5.9090909090909092</v>
      </c>
      <c r="K565" s="7">
        <f t="shared" si="61"/>
        <v>201.80010321436356</v>
      </c>
      <c r="L565" s="2" t="str">
        <f t="shared" si="56"/>
        <v>Sharp Price Increase</v>
      </c>
      <c r="M565" s="2" t="str">
        <f t="shared" si="57"/>
        <v>Sharp Volume Increase</v>
      </c>
      <c r="N565" s="2" t="str">
        <f t="shared" si="58"/>
        <v>Yes</v>
      </c>
    </row>
    <row r="566" spans="1:14" x14ac:dyDescent="0.25">
      <c r="A566" s="3">
        <v>44293</v>
      </c>
      <c r="B566" s="4">
        <v>2021</v>
      </c>
      <c r="C566" s="5">
        <v>2330</v>
      </c>
      <c r="D566" s="5">
        <v>2370</v>
      </c>
      <c r="E566" s="5">
        <v>2270</v>
      </c>
      <c r="F566" s="5">
        <v>2360</v>
      </c>
      <c r="G566" s="5">
        <v>1947.05</v>
      </c>
      <c r="H566" s="6">
        <v>237921000</v>
      </c>
      <c r="I566" s="22" t="str">
        <f t="shared" si="59"/>
        <v>+</v>
      </c>
      <c r="J566" s="7">
        <f t="shared" si="60"/>
        <v>1.2875536480686696</v>
      </c>
      <c r="K566" s="7">
        <f t="shared" si="61"/>
        <v>-26.563195450591792</v>
      </c>
      <c r="L566" s="2" t="str">
        <f t="shared" si="56"/>
        <v>Normal</v>
      </c>
      <c r="M566" s="2" t="str">
        <f t="shared" si="57"/>
        <v>Normal</v>
      </c>
      <c r="N566" s="2" t="str">
        <f t="shared" si="58"/>
        <v>No</v>
      </c>
    </row>
    <row r="567" spans="1:14" x14ac:dyDescent="0.25">
      <c r="A567" s="3">
        <v>44294</v>
      </c>
      <c r="B567" s="4">
        <v>2021</v>
      </c>
      <c r="C567" s="5">
        <v>2360</v>
      </c>
      <c r="D567" s="5">
        <v>2480</v>
      </c>
      <c r="E567" s="5">
        <v>2340</v>
      </c>
      <c r="F567" s="5">
        <v>2470</v>
      </c>
      <c r="G567" s="5">
        <v>2037.8</v>
      </c>
      <c r="H567" s="6">
        <v>327839300</v>
      </c>
      <c r="I567" s="22" t="str">
        <f t="shared" si="59"/>
        <v>+</v>
      </c>
      <c r="J567" s="7">
        <f t="shared" si="60"/>
        <v>4.6610169491525424</v>
      </c>
      <c r="K567" s="7">
        <f t="shared" si="61"/>
        <v>37.793343168530733</v>
      </c>
      <c r="L567" s="2" t="str">
        <f t="shared" si="56"/>
        <v>Normal</v>
      </c>
      <c r="M567" s="2" t="str">
        <f t="shared" si="57"/>
        <v>Normal</v>
      </c>
      <c r="N567" s="2" t="str">
        <f t="shared" si="58"/>
        <v>No</v>
      </c>
    </row>
    <row r="568" spans="1:14" x14ac:dyDescent="0.25">
      <c r="A568" s="3">
        <v>44295</v>
      </c>
      <c r="B568" s="4">
        <v>2021</v>
      </c>
      <c r="C568" s="5">
        <v>2450</v>
      </c>
      <c r="D568" s="5">
        <v>2490</v>
      </c>
      <c r="E568" s="5">
        <v>2340</v>
      </c>
      <c r="F568" s="5">
        <v>2340</v>
      </c>
      <c r="G568" s="5">
        <v>1930.55</v>
      </c>
      <c r="H568" s="6">
        <v>264837100</v>
      </c>
      <c r="I568" s="22" t="str">
        <f t="shared" si="59"/>
        <v>-</v>
      </c>
      <c r="J568" s="7">
        <f t="shared" si="60"/>
        <v>-5.2631578947368416</v>
      </c>
      <c r="K568" s="7">
        <f t="shared" si="61"/>
        <v>-19.217403160633882</v>
      </c>
      <c r="L568" s="2" t="str">
        <f t="shared" si="56"/>
        <v>Sharp Price Decrease</v>
      </c>
      <c r="M568" s="2" t="str">
        <f t="shared" si="57"/>
        <v>Normal</v>
      </c>
      <c r="N568" s="2" t="str">
        <f t="shared" si="58"/>
        <v>No</v>
      </c>
    </row>
    <row r="569" spans="1:14" x14ac:dyDescent="0.25">
      <c r="A569" s="3">
        <v>44298</v>
      </c>
      <c r="B569" s="4">
        <v>2021</v>
      </c>
      <c r="C569" s="5">
        <v>2310</v>
      </c>
      <c r="D569" s="5">
        <v>2310</v>
      </c>
      <c r="E569" s="5">
        <v>2210</v>
      </c>
      <c r="F569" s="5">
        <v>2250</v>
      </c>
      <c r="G569" s="5">
        <v>1856.3</v>
      </c>
      <c r="H569" s="6">
        <v>194738500</v>
      </c>
      <c r="I569" s="22" t="str">
        <f t="shared" si="59"/>
        <v>-</v>
      </c>
      <c r="J569" s="7">
        <f t="shared" si="60"/>
        <v>-3.8461538461538463</v>
      </c>
      <c r="K569" s="7">
        <f t="shared" si="61"/>
        <v>-26.468572567816217</v>
      </c>
      <c r="L569" s="2" t="str">
        <f t="shared" si="56"/>
        <v>Normal</v>
      </c>
      <c r="M569" s="2" t="str">
        <f t="shared" si="57"/>
        <v>Normal</v>
      </c>
      <c r="N569" s="2" t="str">
        <f t="shared" si="58"/>
        <v>No</v>
      </c>
    </row>
    <row r="570" spans="1:14" x14ac:dyDescent="0.25">
      <c r="A570" s="3">
        <v>44299</v>
      </c>
      <c r="B570" s="4">
        <v>2021</v>
      </c>
      <c r="C570" s="5">
        <v>2250</v>
      </c>
      <c r="D570" s="5">
        <v>2300</v>
      </c>
      <c r="E570" s="5">
        <v>2220</v>
      </c>
      <c r="F570" s="5">
        <v>2270</v>
      </c>
      <c r="G570" s="5">
        <v>1872.8</v>
      </c>
      <c r="H570" s="6">
        <v>111017700</v>
      </c>
      <c r="I570" s="22" t="str">
        <f t="shared" si="59"/>
        <v>+</v>
      </c>
      <c r="J570" s="7">
        <f t="shared" si="60"/>
        <v>0.88888888888888884</v>
      </c>
      <c r="K570" s="7">
        <f t="shared" si="61"/>
        <v>-42.991396154330033</v>
      </c>
      <c r="L570" s="2" t="str">
        <f t="shared" si="56"/>
        <v>Normal</v>
      </c>
      <c r="M570" s="2" t="str">
        <f t="shared" si="57"/>
        <v>Normal</v>
      </c>
      <c r="N570" s="2" t="str">
        <f t="shared" si="58"/>
        <v>No</v>
      </c>
    </row>
    <row r="571" spans="1:14" x14ac:dyDescent="0.25">
      <c r="A571" s="3">
        <v>44300</v>
      </c>
      <c r="B571" s="4">
        <v>2021</v>
      </c>
      <c r="C571" s="5">
        <v>2280</v>
      </c>
      <c r="D571" s="5">
        <v>2340</v>
      </c>
      <c r="E571" s="5">
        <v>2280</v>
      </c>
      <c r="F571" s="5">
        <v>2330</v>
      </c>
      <c r="G571" s="5">
        <v>1922.3</v>
      </c>
      <c r="H571" s="6">
        <v>143891700</v>
      </c>
      <c r="I571" s="22" t="str">
        <f t="shared" si="59"/>
        <v>+</v>
      </c>
      <c r="J571" s="7">
        <f t="shared" si="60"/>
        <v>2.643171806167401</v>
      </c>
      <c r="K571" s="7">
        <f t="shared" si="61"/>
        <v>29.611494383328065</v>
      </c>
      <c r="L571" s="2" t="str">
        <f t="shared" si="56"/>
        <v>Normal</v>
      </c>
      <c r="M571" s="2" t="str">
        <f t="shared" si="57"/>
        <v>Normal</v>
      </c>
      <c r="N571" s="2" t="str">
        <f t="shared" si="58"/>
        <v>No</v>
      </c>
    </row>
    <row r="572" spans="1:14" x14ac:dyDescent="0.25">
      <c r="A572" s="3">
        <v>44301</v>
      </c>
      <c r="B572" s="4">
        <v>2021</v>
      </c>
      <c r="C572" s="5">
        <v>2340</v>
      </c>
      <c r="D572" s="5">
        <v>2350</v>
      </c>
      <c r="E572" s="5">
        <v>2300</v>
      </c>
      <c r="F572" s="5">
        <v>2320</v>
      </c>
      <c r="G572" s="5">
        <v>1914.05</v>
      </c>
      <c r="H572" s="6">
        <v>109175800</v>
      </c>
      <c r="I572" s="22" t="str">
        <f t="shared" si="59"/>
        <v>-</v>
      </c>
      <c r="J572" s="7">
        <f t="shared" si="60"/>
        <v>-0.42918454935622319</v>
      </c>
      <c r="K572" s="7">
        <f t="shared" si="61"/>
        <v>-24.126408958960109</v>
      </c>
      <c r="L572" s="2" t="str">
        <f t="shared" si="56"/>
        <v>Normal</v>
      </c>
      <c r="M572" s="2" t="str">
        <f t="shared" si="57"/>
        <v>Normal</v>
      </c>
      <c r="N572" s="2" t="str">
        <f t="shared" si="58"/>
        <v>No</v>
      </c>
    </row>
    <row r="573" spans="1:14" x14ac:dyDescent="0.25">
      <c r="A573" s="3">
        <v>44302</v>
      </c>
      <c r="B573" s="4">
        <v>2021</v>
      </c>
      <c r="C573" s="5">
        <v>2340</v>
      </c>
      <c r="D573" s="5">
        <v>2420</v>
      </c>
      <c r="E573" s="5">
        <v>2310</v>
      </c>
      <c r="F573" s="5">
        <v>2390</v>
      </c>
      <c r="G573" s="5">
        <v>1986.13</v>
      </c>
      <c r="H573" s="6">
        <v>173387400</v>
      </c>
      <c r="I573" s="22" t="str">
        <f t="shared" si="59"/>
        <v>+</v>
      </c>
      <c r="J573" s="7">
        <f t="shared" si="60"/>
        <v>3.0172413793103448</v>
      </c>
      <c r="K573" s="7">
        <f t="shared" si="61"/>
        <v>58.814865565445814</v>
      </c>
      <c r="L573" s="2" t="str">
        <f t="shared" si="56"/>
        <v>Normal</v>
      </c>
      <c r="M573" s="2" t="str">
        <f t="shared" si="57"/>
        <v>Normal</v>
      </c>
      <c r="N573" s="2" t="str">
        <f t="shared" si="58"/>
        <v>No</v>
      </c>
    </row>
    <row r="574" spans="1:14" x14ac:dyDescent="0.25">
      <c r="A574" s="3">
        <v>44305</v>
      </c>
      <c r="B574" s="4">
        <v>2021</v>
      </c>
      <c r="C574" s="5">
        <v>2350</v>
      </c>
      <c r="D574" s="5">
        <v>2370</v>
      </c>
      <c r="E574" s="5">
        <v>2300</v>
      </c>
      <c r="F574" s="5">
        <v>2340</v>
      </c>
      <c r="G574" s="5">
        <v>1944.58</v>
      </c>
      <c r="H574" s="6">
        <v>91552300</v>
      </c>
      <c r="I574" s="22" t="str">
        <f t="shared" si="59"/>
        <v>-</v>
      </c>
      <c r="J574" s="7">
        <f t="shared" si="60"/>
        <v>-2.0920502092050208</v>
      </c>
      <c r="K574" s="7">
        <f t="shared" si="61"/>
        <v>-47.197835598203788</v>
      </c>
      <c r="L574" s="2" t="str">
        <f t="shared" si="56"/>
        <v>Normal</v>
      </c>
      <c r="M574" s="2" t="str">
        <f t="shared" si="57"/>
        <v>Normal</v>
      </c>
      <c r="N574" s="2" t="str">
        <f t="shared" si="58"/>
        <v>No</v>
      </c>
    </row>
    <row r="575" spans="1:14" x14ac:dyDescent="0.25">
      <c r="A575" s="3">
        <v>44306</v>
      </c>
      <c r="B575" s="4">
        <v>2021</v>
      </c>
      <c r="C575" s="5">
        <v>2330</v>
      </c>
      <c r="D575" s="5">
        <v>2360</v>
      </c>
      <c r="E575" s="5">
        <v>2300</v>
      </c>
      <c r="F575" s="5">
        <v>2350</v>
      </c>
      <c r="G575" s="5">
        <v>1952.89</v>
      </c>
      <c r="H575" s="6">
        <v>60372200</v>
      </c>
      <c r="I575" s="22" t="str">
        <f t="shared" si="59"/>
        <v>+</v>
      </c>
      <c r="J575" s="7">
        <f t="shared" si="60"/>
        <v>0.42735042735042739</v>
      </c>
      <c r="K575" s="7">
        <f t="shared" si="61"/>
        <v>-34.057145478595295</v>
      </c>
      <c r="L575" s="2" t="str">
        <f t="shared" si="56"/>
        <v>Normal</v>
      </c>
      <c r="M575" s="2" t="str">
        <f t="shared" si="57"/>
        <v>Normal</v>
      </c>
      <c r="N575" s="2" t="str">
        <f t="shared" si="58"/>
        <v>No</v>
      </c>
    </row>
    <row r="576" spans="1:14" x14ac:dyDescent="0.25">
      <c r="A576" s="3">
        <v>44307</v>
      </c>
      <c r="B576" s="4">
        <v>2021</v>
      </c>
      <c r="C576" s="5">
        <v>2320</v>
      </c>
      <c r="D576" s="5">
        <v>2400</v>
      </c>
      <c r="E576" s="5">
        <v>2300</v>
      </c>
      <c r="F576" s="5">
        <v>2370</v>
      </c>
      <c r="G576" s="5">
        <v>1969.51</v>
      </c>
      <c r="H576" s="6">
        <v>112742900</v>
      </c>
      <c r="I576" s="22" t="str">
        <f t="shared" si="59"/>
        <v>+</v>
      </c>
      <c r="J576" s="7">
        <f t="shared" si="60"/>
        <v>0.85106382978723405</v>
      </c>
      <c r="K576" s="7">
        <f t="shared" si="61"/>
        <v>86.746383269120557</v>
      </c>
      <c r="L576" s="2" t="str">
        <f t="shared" si="56"/>
        <v>Normal</v>
      </c>
      <c r="M576" s="2" t="str">
        <f t="shared" si="57"/>
        <v>Normal</v>
      </c>
      <c r="N576" s="2" t="str">
        <f t="shared" si="58"/>
        <v>No</v>
      </c>
    </row>
    <row r="577" spans="1:14" x14ac:dyDescent="0.25">
      <c r="A577" s="3">
        <v>44308</v>
      </c>
      <c r="B577" s="4">
        <v>2021</v>
      </c>
      <c r="C577" s="5">
        <v>2380</v>
      </c>
      <c r="D577" s="5">
        <v>2440</v>
      </c>
      <c r="E577" s="5">
        <v>2350</v>
      </c>
      <c r="F577" s="5">
        <v>2350</v>
      </c>
      <c r="G577" s="5">
        <v>1952.89</v>
      </c>
      <c r="H577" s="6">
        <v>119644900</v>
      </c>
      <c r="I577" s="22" t="str">
        <f t="shared" si="59"/>
        <v>-</v>
      </c>
      <c r="J577" s="7">
        <f t="shared" si="60"/>
        <v>-0.8438818565400843</v>
      </c>
      <c r="K577" s="7">
        <f t="shared" si="61"/>
        <v>6.1218932633451866</v>
      </c>
      <c r="L577" s="2" t="str">
        <f t="shared" si="56"/>
        <v>Normal</v>
      </c>
      <c r="M577" s="2" t="str">
        <f t="shared" si="57"/>
        <v>Normal</v>
      </c>
      <c r="N577" s="2" t="str">
        <f t="shared" si="58"/>
        <v>No</v>
      </c>
    </row>
    <row r="578" spans="1:14" x14ac:dyDescent="0.25">
      <c r="A578" s="3">
        <v>44309</v>
      </c>
      <c r="B578" s="4">
        <v>2021</v>
      </c>
      <c r="C578" s="5">
        <v>2320</v>
      </c>
      <c r="D578" s="5">
        <v>2340</v>
      </c>
      <c r="E578" s="5">
        <v>2310</v>
      </c>
      <c r="F578" s="5">
        <v>2320</v>
      </c>
      <c r="G578" s="5">
        <v>1927.96</v>
      </c>
      <c r="H578" s="6">
        <v>41022800</v>
      </c>
      <c r="I578" s="22" t="str">
        <f t="shared" si="59"/>
        <v>-</v>
      </c>
      <c r="J578" s="7">
        <f t="shared" si="60"/>
        <v>-1.2765957446808509</v>
      </c>
      <c r="K578" s="7">
        <f t="shared" si="61"/>
        <v>-65.712872007080961</v>
      </c>
      <c r="L578" s="2" t="str">
        <f t="shared" si="56"/>
        <v>Normal</v>
      </c>
      <c r="M578" s="2" t="str">
        <f t="shared" si="57"/>
        <v>Sharp Volume Decrease</v>
      </c>
      <c r="N578" s="2" t="str">
        <f t="shared" si="58"/>
        <v>No</v>
      </c>
    </row>
    <row r="579" spans="1:14" x14ac:dyDescent="0.25">
      <c r="A579" s="3">
        <v>44312</v>
      </c>
      <c r="B579" s="4">
        <v>2021</v>
      </c>
      <c r="C579" s="5">
        <v>2350</v>
      </c>
      <c r="D579" s="5">
        <v>2420</v>
      </c>
      <c r="E579" s="5">
        <v>2340</v>
      </c>
      <c r="F579" s="5">
        <v>2390</v>
      </c>
      <c r="G579" s="5">
        <v>1986.13</v>
      </c>
      <c r="H579" s="6">
        <v>139616000</v>
      </c>
      <c r="I579" s="22" t="str">
        <f t="shared" si="59"/>
        <v>+</v>
      </c>
      <c r="J579" s="7">
        <f t="shared" si="60"/>
        <v>3.0172413793103448</v>
      </c>
      <c r="K579" s="7">
        <f t="shared" si="61"/>
        <v>240.33756837661008</v>
      </c>
      <c r="L579" s="2" t="str">
        <f t="shared" ref="L579:L642" si="62">IFERROR(IF(OR(J579="",ISBLANK(J579)),"Normal",IF(J579&lt;=$U$6,"Sharp Price Decrease",IF(J579&gt;=$U$7,"Sharp Price Increase","Normal"))),"Normal")</f>
        <v>Normal</v>
      </c>
      <c r="M579" s="2" t="str">
        <f t="shared" ref="M579:M642" si="63">IFERROR(IF(OR(K579="",ISBLANK(K579)),"Normal",IF(K579&lt;=$U$8,"Sharp Volume Decrease",IF(K579&gt;=$U$9,"Sharp Volume Increase","Normal"))),"Normal")</f>
        <v>Sharp Volume Increase</v>
      </c>
      <c r="N579" s="2" t="str">
        <f t="shared" ref="N579:N642" si="64">IFERROR(IF(AND(OR(L579="Sharp Price Increase",L579="Sharp Price Decrease"),OR(M579="Sharp Volume Increase",M579="Sharp Volume Decrease")),"Yes","No"),"No")</f>
        <v>No</v>
      </c>
    </row>
    <row r="580" spans="1:14" x14ac:dyDescent="0.25">
      <c r="A580" s="3">
        <v>44313</v>
      </c>
      <c r="B580" s="4">
        <v>2021</v>
      </c>
      <c r="C580" s="5">
        <v>2410</v>
      </c>
      <c r="D580" s="5">
        <v>2430</v>
      </c>
      <c r="E580" s="5">
        <v>2360</v>
      </c>
      <c r="F580" s="5">
        <v>2390</v>
      </c>
      <c r="G580" s="5">
        <v>1986.13</v>
      </c>
      <c r="H580" s="6">
        <v>96606300</v>
      </c>
      <c r="I580" s="22" t="str">
        <f t="shared" ref="I580:I643" si="65">IFERROR(IF(OR(F579="",F580=""),"",IF(F580-F579&lt;0,"-",IF(F580-F579&gt;0,"+","0"))),"")</f>
        <v>0</v>
      </c>
      <c r="J580" s="7">
        <f t="shared" ref="J580:J643" si="66">(F580-F579)/F579*100</f>
        <v>0</v>
      </c>
      <c r="K580" s="7">
        <f t="shared" ref="K580:K643" si="67">(H580-H579)/H579*100</f>
        <v>-30.805709947283976</v>
      </c>
      <c r="L580" s="2" t="str">
        <f t="shared" si="62"/>
        <v>Normal</v>
      </c>
      <c r="M580" s="2" t="str">
        <f t="shared" si="63"/>
        <v>Normal</v>
      </c>
      <c r="N580" s="2" t="str">
        <f t="shared" si="64"/>
        <v>No</v>
      </c>
    </row>
    <row r="581" spans="1:14" x14ac:dyDescent="0.25">
      <c r="A581" s="3">
        <v>44314</v>
      </c>
      <c r="B581" s="4">
        <v>2021</v>
      </c>
      <c r="C581" s="5">
        <v>2380</v>
      </c>
      <c r="D581" s="5">
        <v>2430</v>
      </c>
      <c r="E581" s="5">
        <v>2350</v>
      </c>
      <c r="F581" s="5">
        <v>2430</v>
      </c>
      <c r="G581" s="5">
        <v>2019.37</v>
      </c>
      <c r="H581" s="6">
        <v>138325400</v>
      </c>
      <c r="I581" s="22" t="str">
        <f t="shared" si="65"/>
        <v>+</v>
      </c>
      <c r="J581" s="7">
        <f t="shared" si="66"/>
        <v>1.6736401673640167</v>
      </c>
      <c r="K581" s="7">
        <f t="shared" si="67"/>
        <v>43.184657729361334</v>
      </c>
      <c r="L581" s="2" t="str">
        <f t="shared" si="62"/>
        <v>Normal</v>
      </c>
      <c r="M581" s="2" t="str">
        <f t="shared" si="63"/>
        <v>Normal</v>
      </c>
      <c r="N581" s="2" t="str">
        <f t="shared" si="64"/>
        <v>No</v>
      </c>
    </row>
    <row r="582" spans="1:14" x14ac:dyDescent="0.25">
      <c r="A582" s="3">
        <v>44315</v>
      </c>
      <c r="B582" s="4">
        <v>2021</v>
      </c>
      <c r="C582" s="5">
        <v>2460</v>
      </c>
      <c r="D582" s="5">
        <v>2540</v>
      </c>
      <c r="E582" s="5">
        <v>2460</v>
      </c>
      <c r="F582" s="5">
        <v>2510</v>
      </c>
      <c r="G582" s="5">
        <v>2085.85</v>
      </c>
      <c r="H582" s="6">
        <v>325392600</v>
      </c>
      <c r="I582" s="22" t="str">
        <f t="shared" si="65"/>
        <v>+</v>
      </c>
      <c r="J582" s="7">
        <f t="shared" si="66"/>
        <v>3.2921810699588478</v>
      </c>
      <c r="K582" s="7">
        <f t="shared" si="67"/>
        <v>135.23705696856831</v>
      </c>
      <c r="L582" s="2" t="str">
        <f t="shared" si="62"/>
        <v>Normal</v>
      </c>
      <c r="M582" s="2" t="str">
        <f t="shared" si="63"/>
        <v>Normal</v>
      </c>
      <c r="N582" s="2" t="str">
        <f t="shared" si="64"/>
        <v>No</v>
      </c>
    </row>
    <row r="583" spans="1:14" x14ac:dyDescent="0.25">
      <c r="A583" s="3">
        <v>44316</v>
      </c>
      <c r="B583" s="4">
        <v>2021</v>
      </c>
      <c r="C583" s="5">
        <v>2490</v>
      </c>
      <c r="D583" s="5">
        <v>2500</v>
      </c>
      <c r="E583" s="5">
        <v>2440</v>
      </c>
      <c r="F583" s="5">
        <v>2490</v>
      </c>
      <c r="G583" s="5">
        <v>2069.23</v>
      </c>
      <c r="H583" s="6">
        <v>124672100</v>
      </c>
      <c r="I583" s="22" t="str">
        <f t="shared" si="65"/>
        <v>-</v>
      </c>
      <c r="J583" s="7">
        <f t="shared" si="66"/>
        <v>-0.79681274900398402</v>
      </c>
      <c r="K583" s="7">
        <f t="shared" si="67"/>
        <v>-61.685637595937948</v>
      </c>
      <c r="L583" s="2" t="str">
        <f t="shared" si="62"/>
        <v>Normal</v>
      </c>
      <c r="M583" s="2" t="str">
        <f t="shared" si="63"/>
        <v>Sharp Volume Decrease</v>
      </c>
      <c r="N583" s="2" t="str">
        <f t="shared" si="64"/>
        <v>No</v>
      </c>
    </row>
    <row r="584" spans="1:14" x14ac:dyDescent="0.25">
      <c r="A584" s="3">
        <v>44319</v>
      </c>
      <c r="B584" s="4">
        <v>2021</v>
      </c>
      <c r="C584" s="5">
        <v>2500</v>
      </c>
      <c r="D584" s="5">
        <v>2560</v>
      </c>
      <c r="E584" s="5">
        <v>2480</v>
      </c>
      <c r="F584" s="5">
        <v>2520</v>
      </c>
      <c r="G584" s="5">
        <v>2094.16</v>
      </c>
      <c r="H584" s="6">
        <v>171047200</v>
      </c>
      <c r="I584" s="22" t="str">
        <f t="shared" si="65"/>
        <v>+</v>
      </c>
      <c r="J584" s="7">
        <f t="shared" si="66"/>
        <v>1.2048192771084338</v>
      </c>
      <c r="K584" s="7">
        <f t="shared" si="67"/>
        <v>37.197656893563199</v>
      </c>
      <c r="L584" s="2" t="str">
        <f t="shared" si="62"/>
        <v>Normal</v>
      </c>
      <c r="M584" s="2" t="str">
        <f t="shared" si="63"/>
        <v>Normal</v>
      </c>
      <c r="N584" s="2" t="str">
        <f t="shared" si="64"/>
        <v>No</v>
      </c>
    </row>
    <row r="585" spans="1:14" x14ac:dyDescent="0.25">
      <c r="A585" s="3">
        <v>44320</v>
      </c>
      <c r="B585" s="4">
        <v>2021</v>
      </c>
      <c r="C585" s="5">
        <v>2540</v>
      </c>
      <c r="D585" s="5">
        <v>2640</v>
      </c>
      <c r="E585" s="5">
        <v>2500</v>
      </c>
      <c r="F585" s="5">
        <v>2620</v>
      </c>
      <c r="G585" s="5">
        <v>2177.2600000000002</v>
      </c>
      <c r="H585" s="6">
        <v>284137700</v>
      </c>
      <c r="I585" s="22" t="str">
        <f t="shared" si="65"/>
        <v>+</v>
      </c>
      <c r="J585" s="7">
        <f t="shared" si="66"/>
        <v>3.9682539682539679</v>
      </c>
      <c r="K585" s="7">
        <f t="shared" si="67"/>
        <v>66.116545608463625</v>
      </c>
      <c r="L585" s="2" t="str">
        <f t="shared" si="62"/>
        <v>Normal</v>
      </c>
      <c r="M585" s="2" t="str">
        <f t="shared" si="63"/>
        <v>Normal</v>
      </c>
      <c r="N585" s="2" t="str">
        <f t="shared" si="64"/>
        <v>No</v>
      </c>
    </row>
    <row r="586" spans="1:14" x14ac:dyDescent="0.25">
      <c r="A586" s="3">
        <v>44321</v>
      </c>
      <c r="B586" s="4">
        <v>2021</v>
      </c>
      <c r="C586" s="5">
        <v>2620</v>
      </c>
      <c r="D586" s="5">
        <v>2640</v>
      </c>
      <c r="E586" s="5">
        <v>2560</v>
      </c>
      <c r="F586" s="5">
        <v>2630</v>
      </c>
      <c r="G586" s="5">
        <v>2185.5700000000002</v>
      </c>
      <c r="H586" s="6">
        <v>180649900</v>
      </c>
      <c r="I586" s="22" t="str">
        <f t="shared" si="65"/>
        <v>+</v>
      </c>
      <c r="J586" s="7">
        <f t="shared" si="66"/>
        <v>0.38167938931297707</v>
      </c>
      <c r="K586" s="7">
        <f t="shared" si="67"/>
        <v>-36.421706799203349</v>
      </c>
      <c r="L586" s="2" t="str">
        <f t="shared" si="62"/>
        <v>Normal</v>
      </c>
      <c r="M586" s="2" t="str">
        <f t="shared" si="63"/>
        <v>Normal</v>
      </c>
      <c r="N586" s="2" t="str">
        <f t="shared" si="64"/>
        <v>No</v>
      </c>
    </row>
    <row r="587" spans="1:14" x14ac:dyDescent="0.25">
      <c r="A587" s="3">
        <v>44322</v>
      </c>
      <c r="B587" s="4">
        <v>2021</v>
      </c>
      <c r="C587" s="5">
        <v>2610</v>
      </c>
      <c r="D587" s="5">
        <v>2670</v>
      </c>
      <c r="E587" s="5">
        <v>2580</v>
      </c>
      <c r="F587" s="5">
        <v>2620</v>
      </c>
      <c r="G587" s="5">
        <v>2177.2600000000002</v>
      </c>
      <c r="H587" s="6">
        <v>150793800</v>
      </c>
      <c r="I587" s="22" t="str">
        <f t="shared" si="65"/>
        <v>-</v>
      </c>
      <c r="J587" s="7">
        <f t="shared" si="66"/>
        <v>-0.38022813688212925</v>
      </c>
      <c r="K587" s="7">
        <f t="shared" si="67"/>
        <v>-16.527050388624627</v>
      </c>
      <c r="L587" s="2" t="str">
        <f t="shared" si="62"/>
        <v>Normal</v>
      </c>
      <c r="M587" s="2" t="str">
        <f t="shared" si="63"/>
        <v>Normal</v>
      </c>
      <c r="N587" s="2" t="str">
        <f t="shared" si="64"/>
        <v>No</v>
      </c>
    </row>
    <row r="588" spans="1:14" x14ac:dyDescent="0.25">
      <c r="A588" s="3">
        <v>44323</v>
      </c>
      <c r="B588" s="4">
        <v>2021</v>
      </c>
      <c r="C588" s="5">
        <v>2630</v>
      </c>
      <c r="D588" s="5">
        <v>2650</v>
      </c>
      <c r="E588" s="5">
        <v>2610</v>
      </c>
      <c r="F588" s="5">
        <v>2620</v>
      </c>
      <c r="G588" s="5">
        <v>2177.2600000000002</v>
      </c>
      <c r="H588" s="6">
        <v>133080200</v>
      </c>
      <c r="I588" s="22" t="str">
        <f t="shared" si="65"/>
        <v>0</v>
      </c>
      <c r="J588" s="7">
        <f t="shared" si="66"/>
        <v>0</v>
      </c>
      <c r="K588" s="7">
        <f t="shared" si="67"/>
        <v>-11.746902060960066</v>
      </c>
      <c r="L588" s="2" t="str">
        <f t="shared" si="62"/>
        <v>Normal</v>
      </c>
      <c r="M588" s="2" t="str">
        <f t="shared" si="63"/>
        <v>Normal</v>
      </c>
      <c r="N588" s="2" t="str">
        <f t="shared" si="64"/>
        <v>No</v>
      </c>
    </row>
    <row r="589" spans="1:14" x14ac:dyDescent="0.25">
      <c r="A589" s="3">
        <v>44326</v>
      </c>
      <c r="B589" s="4">
        <v>2021</v>
      </c>
      <c r="C589" s="5">
        <v>2640</v>
      </c>
      <c r="D589" s="5">
        <v>2700</v>
      </c>
      <c r="E589" s="5">
        <v>2620</v>
      </c>
      <c r="F589" s="5">
        <v>2680</v>
      </c>
      <c r="G589" s="5">
        <v>2227.12</v>
      </c>
      <c r="H589" s="6">
        <v>157887500</v>
      </c>
      <c r="I589" s="22" t="str">
        <f t="shared" si="65"/>
        <v>+</v>
      </c>
      <c r="J589" s="7">
        <f t="shared" si="66"/>
        <v>2.2900763358778624</v>
      </c>
      <c r="K589" s="7">
        <f t="shared" si="67"/>
        <v>18.640864681598014</v>
      </c>
      <c r="L589" s="2" t="str">
        <f t="shared" si="62"/>
        <v>Normal</v>
      </c>
      <c r="M589" s="2" t="str">
        <f t="shared" si="63"/>
        <v>Normal</v>
      </c>
      <c r="N589" s="2" t="str">
        <f t="shared" si="64"/>
        <v>No</v>
      </c>
    </row>
    <row r="590" spans="1:14" x14ac:dyDescent="0.25">
      <c r="A590" s="3">
        <v>44327</v>
      </c>
      <c r="B590" s="4">
        <v>2021</v>
      </c>
      <c r="C590" s="5">
        <v>2600</v>
      </c>
      <c r="D590" s="5">
        <v>2690</v>
      </c>
      <c r="E590" s="5">
        <v>2600</v>
      </c>
      <c r="F590" s="5">
        <v>2670</v>
      </c>
      <c r="G590" s="5">
        <v>2218.81</v>
      </c>
      <c r="H590" s="6">
        <v>164247600</v>
      </c>
      <c r="I590" s="22" t="str">
        <f t="shared" si="65"/>
        <v>-</v>
      </c>
      <c r="J590" s="7">
        <f t="shared" si="66"/>
        <v>-0.37313432835820892</v>
      </c>
      <c r="K590" s="7">
        <f t="shared" si="67"/>
        <v>4.0282479613648965</v>
      </c>
      <c r="L590" s="2" t="str">
        <f t="shared" si="62"/>
        <v>Normal</v>
      </c>
      <c r="M590" s="2" t="str">
        <f t="shared" si="63"/>
        <v>Normal</v>
      </c>
      <c r="N590" s="2" t="str">
        <f t="shared" si="64"/>
        <v>No</v>
      </c>
    </row>
    <row r="591" spans="1:14" x14ac:dyDescent="0.25">
      <c r="A591" s="3">
        <v>44333</v>
      </c>
      <c r="B591" s="4">
        <v>2021</v>
      </c>
      <c r="C591" s="5">
        <v>2670</v>
      </c>
      <c r="D591" s="5">
        <v>2670</v>
      </c>
      <c r="E591" s="5">
        <v>2500</v>
      </c>
      <c r="F591" s="5">
        <v>2510</v>
      </c>
      <c r="G591" s="5">
        <v>2085.85</v>
      </c>
      <c r="H591" s="6">
        <v>185205000</v>
      </c>
      <c r="I591" s="22" t="str">
        <f t="shared" si="65"/>
        <v>-</v>
      </c>
      <c r="J591" s="7">
        <f t="shared" si="66"/>
        <v>-5.9925093632958806</v>
      </c>
      <c r="K591" s="7">
        <f t="shared" si="67"/>
        <v>12.75963849700087</v>
      </c>
      <c r="L591" s="2" t="str">
        <f t="shared" si="62"/>
        <v>Sharp Price Decrease</v>
      </c>
      <c r="M591" s="2" t="str">
        <f t="shared" si="63"/>
        <v>Normal</v>
      </c>
      <c r="N591" s="2" t="str">
        <f t="shared" si="64"/>
        <v>No</v>
      </c>
    </row>
    <row r="592" spans="1:14" x14ac:dyDescent="0.25">
      <c r="A592" s="3">
        <v>44334</v>
      </c>
      <c r="B592" s="4">
        <v>2021</v>
      </c>
      <c r="C592" s="5">
        <v>2560</v>
      </c>
      <c r="D592" s="5">
        <v>2640</v>
      </c>
      <c r="E592" s="5">
        <v>2540</v>
      </c>
      <c r="F592" s="5">
        <v>2600</v>
      </c>
      <c r="G592" s="5">
        <v>2160.64</v>
      </c>
      <c r="H592" s="6">
        <v>179403400</v>
      </c>
      <c r="I592" s="22" t="str">
        <f t="shared" si="65"/>
        <v>+</v>
      </c>
      <c r="J592" s="7">
        <f t="shared" si="66"/>
        <v>3.5856573705179287</v>
      </c>
      <c r="K592" s="7">
        <f t="shared" si="67"/>
        <v>-3.1325288194163226</v>
      </c>
      <c r="L592" s="2" t="str">
        <f t="shared" si="62"/>
        <v>Normal</v>
      </c>
      <c r="M592" s="2" t="str">
        <f t="shared" si="63"/>
        <v>Normal</v>
      </c>
      <c r="N592" s="2" t="str">
        <f t="shared" si="64"/>
        <v>No</v>
      </c>
    </row>
    <row r="593" spans="1:14" x14ac:dyDescent="0.25">
      <c r="A593" s="3">
        <v>44335</v>
      </c>
      <c r="B593" s="4">
        <v>2021</v>
      </c>
      <c r="C593" s="5">
        <v>2580</v>
      </c>
      <c r="D593" s="5">
        <v>2640</v>
      </c>
      <c r="E593" s="5">
        <v>2530</v>
      </c>
      <c r="F593" s="5">
        <v>2550</v>
      </c>
      <c r="G593" s="5">
        <v>2119.09</v>
      </c>
      <c r="H593" s="6">
        <v>111892800</v>
      </c>
      <c r="I593" s="22" t="str">
        <f t="shared" si="65"/>
        <v>-</v>
      </c>
      <c r="J593" s="7">
        <f t="shared" si="66"/>
        <v>-1.9230769230769231</v>
      </c>
      <c r="K593" s="7">
        <f t="shared" si="67"/>
        <v>-37.630613466634408</v>
      </c>
      <c r="L593" s="2" t="str">
        <f t="shared" si="62"/>
        <v>Normal</v>
      </c>
      <c r="M593" s="2" t="str">
        <f t="shared" si="63"/>
        <v>Normal</v>
      </c>
      <c r="N593" s="2" t="str">
        <f t="shared" si="64"/>
        <v>No</v>
      </c>
    </row>
    <row r="594" spans="1:14" x14ac:dyDescent="0.25">
      <c r="A594" s="3">
        <v>44336</v>
      </c>
      <c r="B594" s="4">
        <v>2021</v>
      </c>
      <c r="C594" s="5">
        <v>2510</v>
      </c>
      <c r="D594" s="5">
        <v>2520</v>
      </c>
      <c r="E594" s="5">
        <v>2420</v>
      </c>
      <c r="F594" s="5">
        <v>2420</v>
      </c>
      <c r="G594" s="5">
        <v>2011.06</v>
      </c>
      <c r="H594" s="6">
        <v>214175900</v>
      </c>
      <c r="I594" s="22" t="str">
        <f t="shared" si="65"/>
        <v>-</v>
      </c>
      <c r="J594" s="7">
        <f t="shared" si="66"/>
        <v>-5.0980392156862742</v>
      </c>
      <c r="K594" s="7">
        <f t="shared" si="67"/>
        <v>91.411690475169095</v>
      </c>
      <c r="L594" s="2" t="str">
        <f t="shared" si="62"/>
        <v>Sharp Price Decrease</v>
      </c>
      <c r="M594" s="2" t="str">
        <f t="shared" si="63"/>
        <v>Normal</v>
      </c>
      <c r="N594" s="2" t="str">
        <f t="shared" si="64"/>
        <v>No</v>
      </c>
    </row>
    <row r="595" spans="1:14" x14ac:dyDescent="0.25">
      <c r="A595" s="3">
        <v>44337</v>
      </c>
      <c r="B595" s="4">
        <v>2021</v>
      </c>
      <c r="C595" s="5">
        <v>2420</v>
      </c>
      <c r="D595" s="5">
        <v>2440</v>
      </c>
      <c r="E595" s="5">
        <v>2310</v>
      </c>
      <c r="F595" s="5">
        <v>2330</v>
      </c>
      <c r="G595" s="5">
        <v>1936.27</v>
      </c>
      <c r="H595" s="6">
        <v>147528900</v>
      </c>
      <c r="I595" s="22" t="str">
        <f t="shared" si="65"/>
        <v>-</v>
      </c>
      <c r="J595" s="7">
        <f t="shared" si="66"/>
        <v>-3.71900826446281</v>
      </c>
      <c r="K595" s="7">
        <f t="shared" si="67"/>
        <v>-31.117880209678116</v>
      </c>
      <c r="L595" s="2" t="str">
        <f t="shared" si="62"/>
        <v>Normal</v>
      </c>
      <c r="M595" s="2" t="str">
        <f t="shared" si="63"/>
        <v>Normal</v>
      </c>
      <c r="N595" s="2" t="str">
        <f t="shared" si="64"/>
        <v>No</v>
      </c>
    </row>
    <row r="596" spans="1:14" x14ac:dyDescent="0.25">
      <c r="A596" s="3">
        <v>44340</v>
      </c>
      <c r="B596" s="4">
        <v>2021</v>
      </c>
      <c r="C596" s="5">
        <v>2360</v>
      </c>
      <c r="D596" s="5">
        <v>2390</v>
      </c>
      <c r="E596" s="5">
        <v>2250</v>
      </c>
      <c r="F596" s="5">
        <v>2270</v>
      </c>
      <c r="G596" s="5">
        <v>1886.41</v>
      </c>
      <c r="H596" s="6">
        <v>128408600</v>
      </c>
      <c r="I596" s="22" t="str">
        <f t="shared" si="65"/>
        <v>-</v>
      </c>
      <c r="J596" s="7">
        <f t="shared" si="66"/>
        <v>-2.5751072961373391</v>
      </c>
      <c r="K596" s="7">
        <f t="shared" si="67"/>
        <v>-12.960375899230591</v>
      </c>
      <c r="L596" s="2" t="str">
        <f t="shared" si="62"/>
        <v>Normal</v>
      </c>
      <c r="M596" s="2" t="str">
        <f t="shared" si="63"/>
        <v>Normal</v>
      </c>
      <c r="N596" s="2" t="str">
        <f t="shared" si="64"/>
        <v>No</v>
      </c>
    </row>
    <row r="597" spans="1:14" x14ac:dyDescent="0.25">
      <c r="A597" s="3">
        <v>44341</v>
      </c>
      <c r="B597" s="4">
        <v>2021</v>
      </c>
      <c r="C597" s="5">
        <v>2310</v>
      </c>
      <c r="D597" s="5">
        <v>2410</v>
      </c>
      <c r="E597" s="5">
        <v>2310</v>
      </c>
      <c r="F597" s="5">
        <v>2330</v>
      </c>
      <c r="G597" s="5">
        <v>1936.27</v>
      </c>
      <c r="H597" s="6">
        <v>186483800</v>
      </c>
      <c r="I597" s="22" t="str">
        <f t="shared" si="65"/>
        <v>+</v>
      </c>
      <c r="J597" s="7">
        <f t="shared" si="66"/>
        <v>2.643171806167401</v>
      </c>
      <c r="K597" s="7">
        <f t="shared" si="67"/>
        <v>45.226877327531021</v>
      </c>
      <c r="L597" s="2" t="str">
        <f t="shared" si="62"/>
        <v>Normal</v>
      </c>
      <c r="M597" s="2" t="str">
        <f t="shared" si="63"/>
        <v>Normal</v>
      </c>
      <c r="N597" s="2" t="str">
        <f t="shared" si="64"/>
        <v>No</v>
      </c>
    </row>
    <row r="598" spans="1:14" x14ac:dyDescent="0.25">
      <c r="A598" s="3">
        <v>44343</v>
      </c>
      <c r="B598" s="4">
        <v>2021</v>
      </c>
      <c r="C598" s="5">
        <v>2340</v>
      </c>
      <c r="D598" s="5">
        <v>2390</v>
      </c>
      <c r="E598" s="5">
        <v>2330</v>
      </c>
      <c r="F598" s="5">
        <v>2390</v>
      </c>
      <c r="G598" s="5">
        <v>1986.13</v>
      </c>
      <c r="H598" s="6">
        <v>148943500</v>
      </c>
      <c r="I598" s="22" t="str">
        <f t="shared" si="65"/>
        <v>+</v>
      </c>
      <c r="J598" s="7">
        <f t="shared" si="66"/>
        <v>2.5751072961373391</v>
      </c>
      <c r="K598" s="7">
        <f t="shared" si="67"/>
        <v>-20.130595794379992</v>
      </c>
      <c r="L598" s="2" t="str">
        <f t="shared" si="62"/>
        <v>Normal</v>
      </c>
      <c r="M598" s="2" t="str">
        <f t="shared" si="63"/>
        <v>Normal</v>
      </c>
      <c r="N598" s="2" t="str">
        <f t="shared" si="64"/>
        <v>No</v>
      </c>
    </row>
    <row r="599" spans="1:14" x14ac:dyDescent="0.25">
      <c r="A599" s="3">
        <v>44344</v>
      </c>
      <c r="B599" s="4">
        <v>2021</v>
      </c>
      <c r="C599" s="5">
        <v>2470</v>
      </c>
      <c r="D599" s="5">
        <v>2500</v>
      </c>
      <c r="E599" s="5">
        <v>2430</v>
      </c>
      <c r="F599" s="5">
        <v>2460</v>
      </c>
      <c r="G599" s="5">
        <v>2044.3</v>
      </c>
      <c r="H599" s="6">
        <v>118544200</v>
      </c>
      <c r="I599" s="22" t="str">
        <f t="shared" si="65"/>
        <v>+</v>
      </c>
      <c r="J599" s="7">
        <f t="shared" si="66"/>
        <v>2.9288702928870292</v>
      </c>
      <c r="K599" s="7">
        <f t="shared" si="67"/>
        <v>-20.409954110115581</v>
      </c>
      <c r="L599" s="2" t="str">
        <f t="shared" si="62"/>
        <v>Normal</v>
      </c>
      <c r="M599" s="2" t="str">
        <f t="shared" si="63"/>
        <v>Normal</v>
      </c>
      <c r="N599" s="2" t="str">
        <f t="shared" si="64"/>
        <v>No</v>
      </c>
    </row>
    <row r="600" spans="1:14" x14ac:dyDescent="0.25">
      <c r="A600" s="3">
        <v>44347</v>
      </c>
      <c r="B600" s="4">
        <v>2021</v>
      </c>
      <c r="C600" s="5">
        <v>2480</v>
      </c>
      <c r="D600" s="5">
        <v>2480</v>
      </c>
      <c r="E600" s="5">
        <v>2410</v>
      </c>
      <c r="F600" s="5">
        <v>2450</v>
      </c>
      <c r="G600" s="5">
        <v>2035.99</v>
      </c>
      <c r="H600" s="6">
        <v>57366900</v>
      </c>
      <c r="I600" s="22" t="str">
        <f t="shared" si="65"/>
        <v>-</v>
      </c>
      <c r="J600" s="7">
        <f t="shared" si="66"/>
        <v>-0.40650406504065045</v>
      </c>
      <c r="K600" s="7">
        <f t="shared" si="67"/>
        <v>-51.607164247597105</v>
      </c>
      <c r="L600" s="2" t="str">
        <f t="shared" si="62"/>
        <v>Normal</v>
      </c>
      <c r="M600" s="2" t="str">
        <f t="shared" si="63"/>
        <v>Normal</v>
      </c>
      <c r="N600" s="2" t="str">
        <f t="shared" si="64"/>
        <v>No</v>
      </c>
    </row>
    <row r="601" spans="1:14" x14ac:dyDescent="0.25">
      <c r="A601" s="3">
        <v>44349</v>
      </c>
      <c r="B601" s="4">
        <v>2021</v>
      </c>
      <c r="C601" s="5">
        <v>2460</v>
      </c>
      <c r="D601" s="5">
        <v>2550</v>
      </c>
      <c r="E601" s="5">
        <v>2440</v>
      </c>
      <c r="F601" s="5">
        <v>2550</v>
      </c>
      <c r="G601" s="5">
        <v>2119.09</v>
      </c>
      <c r="H601" s="6">
        <v>125654300</v>
      </c>
      <c r="I601" s="22" t="str">
        <f t="shared" si="65"/>
        <v>+</v>
      </c>
      <c r="J601" s="7">
        <f t="shared" si="66"/>
        <v>4.0816326530612246</v>
      </c>
      <c r="K601" s="7">
        <f t="shared" si="67"/>
        <v>119.0362386672454</v>
      </c>
      <c r="L601" s="2" t="str">
        <f t="shared" si="62"/>
        <v>Normal</v>
      </c>
      <c r="M601" s="2" t="str">
        <f t="shared" si="63"/>
        <v>Normal</v>
      </c>
      <c r="N601" s="2" t="str">
        <f t="shared" si="64"/>
        <v>No</v>
      </c>
    </row>
    <row r="602" spans="1:14" x14ac:dyDescent="0.25">
      <c r="A602" s="3">
        <v>44350</v>
      </c>
      <c r="B602" s="4">
        <v>2021</v>
      </c>
      <c r="C602" s="5">
        <v>2540</v>
      </c>
      <c r="D602" s="5">
        <v>2600</v>
      </c>
      <c r="E602" s="5">
        <v>2500</v>
      </c>
      <c r="F602" s="5">
        <v>2520</v>
      </c>
      <c r="G602" s="5">
        <v>2094.16</v>
      </c>
      <c r="H602" s="6">
        <v>131141700</v>
      </c>
      <c r="I602" s="22" t="str">
        <f t="shared" si="65"/>
        <v>-</v>
      </c>
      <c r="J602" s="7">
        <f t="shared" si="66"/>
        <v>-1.1764705882352942</v>
      </c>
      <c r="K602" s="7">
        <f t="shared" si="67"/>
        <v>4.3670610556105123</v>
      </c>
      <c r="L602" s="2" t="str">
        <f t="shared" si="62"/>
        <v>Normal</v>
      </c>
      <c r="M602" s="2" t="str">
        <f t="shared" si="63"/>
        <v>Normal</v>
      </c>
      <c r="N602" s="2" t="str">
        <f t="shared" si="64"/>
        <v>No</v>
      </c>
    </row>
    <row r="603" spans="1:14" x14ac:dyDescent="0.25">
      <c r="A603" s="3">
        <v>44351</v>
      </c>
      <c r="B603" s="4">
        <v>2021</v>
      </c>
      <c r="C603" s="5">
        <v>2480</v>
      </c>
      <c r="D603" s="5">
        <v>2480</v>
      </c>
      <c r="E603" s="5">
        <v>2410</v>
      </c>
      <c r="F603" s="5">
        <v>2430</v>
      </c>
      <c r="G603" s="5">
        <v>2019.37</v>
      </c>
      <c r="H603" s="6">
        <v>160479400</v>
      </c>
      <c r="I603" s="22" t="str">
        <f t="shared" si="65"/>
        <v>-</v>
      </c>
      <c r="J603" s="7">
        <f t="shared" si="66"/>
        <v>-3.5714285714285712</v>
      </c>
      <c r="K603" s="7">
        <f t="shared" si="67"/>
        <v>22.370992598082836</v>
      </c>
      <c r="L603" s="2" t="str">
        <f t="shared" si="62"/>
        <v>Normal</v>
      </c>
      <c r="M603" s="2" t="str">
        <f t="shared" si="63"/>
        <v>Normal</v>
      </c>
      <c r="N603" s="2" t="str">
        <f t="shared" si="64"/>
        <v>No</v>
      </c>
    </row>
    <row r="604" spans="1:14" x14ac:dyDescent="0.25">
      <c r="A604" s="3">
        <v>44354</v>
      </c>
      <c r="B604" s="4">
        <v>2021</v>
      </c>
      <c r="C604" s="5">
        <v>2450</v>
      </c>
      <c r="D604" s="5">
        <v>2450</v>
      </c>
      <c r="E604" s="5">
        <v>2370</v>
      </c>
      <c r="F604" s="5">
        <v>2380</v>
      </c>
      <c r="G604" s="5">
        <v>1977.82</v>
      </c>
      <c r="H604" s="6">
        <v>62115900</v>
      </c>
      <c r="I604" s="22" t="str">
        <f t="shared" si="65"/>
        <v>-</v>
      </c>
      <c r="J604" s="7">
        <f t="shared" si="66"/>
        <v>-2.0576131687242798</v>
      </c>
      <c r="K604" s="7">
        <f t="shared" si="67"/>
        <v>-61.293536740541157</v>
      </c>
      <c r="L604" s="2" t="str">
        <f t="shared" si="62"/>
        <v>Normal</v>
      </c>
      <c r="M604" s="2" t="str">
        <f t="shared" si="63"/>
        <v>Sharp Volume Decrease</v>
      </c>
      <c r="N604" s="2" t="str">
        <f t="shared" si="64"/>
        <v>No</v>
      </c>
    </row>
    <row r="605" spans="1:14" x14ac:dyDescent="0.25">
      <c r="A605" s="3">
        <v>44355</v>
      </c>
      <c r="B605" s="4">
        <v>2021</v>
      </c>
      <c r="C605" s="5">
        <v>2390</v>
      </c>
      <c r="D605" s="5">
        <v>2420</v>
      </c>
      <c r="E605" s="5">
        <v>2350</v>
      </c>
      <c r="F605" s="5">
        <v>2350</v>
      </c>
      <c r="G605" s="5">
        <v>1952.89</v>
      </c>
      <c r="H605" s="6">
        <v>58838700</v>
      </c>
      <c r="I605" s="22" t="str">
        <f t="shared" si="65"/>
        <v>-</v>
      </c>
      <c r="J605" s="7">
        <f t="shared" si="66"/>
        <v>-1.2605042016806722</v>
      </c>
      <c r="K605" s="7">
        <f t="shared" si="67"/>
        <v>-5.2759438404659678</v>
      </c>
      <c r="L605" s="2" t="str">
        <f t="shared" si="62"/>
        <v>Normal</v>
      </c>
      <c r="M605" s="2" t="str">
        <f t="shared" si="63"/>
        <v>Normal</v>
      </c>
      <c r="N605" s="2" t="str">
        <f t="shared" si="64"/>
        <v>No</v>
      </c>
    </row>
    <row r="606" spans="1:14" x14ac:dyDescent="0.25">
      <c r="A606" s="3">
        <v>44356</v>
      </c>
      <c r="B606" s="4">
        <v>2021</v>
      </c>
      <c r="C606" s="5">
        <v>2380</v>
      </c>
      <c r="D606" s="5">
        <v>2480</v>
      </c>
      <c r="E606" s="5">
        <v>2370</v>
      </c>
      <c r="F606" s="5">
        <v>2460</v>
      </c>
      <c r="G606" s="5">
        <v>2044.3</v>
      </c>
      <c r="H606" s="6">
        <v>117338500</v>
      </c>
      <c r="I606" s="22" t="str">
        <f t="shared" si="65"/>
        <v>+</v>
      </c>
      <c r="J606" s="7">
        <f t="shared" si="66"/>
        <v>4.6808510638297873</v>
      </c>
      <c r="K606" s="7">
        <f t="shared" si="67"/>
        <v>99.424018545617088</v>
      </c>
      <c r="L606" s="2" t="str">
        <f t="shared" si="62"/>
        <v>Normal</v>
      </c>
      <c r="M606" s="2" t="str">
        <f t="shared" si="63"/>
        <v>Normal</v>
      </c>
      <c r="N606" s="2" t="str">
        <f t="shared" si="64"/>
        <v>No</v>
      </c>
    </row>
    <row r="607" spans="1:14" x14ac:dyDescent="0.25">
      <c r="A607" s="3">
        <v>44357</v>
      </c>
      <c r="B607" s="4">
        <v>2021</v>
      </c>
      <c r="C607" s="5">
        <v>2440</v>
      </c>
      <c r="D607" s="5">
        <v>2480</v>
      </c>
      <c r="E607" s="5">
        <v>2420</v>
      </c>
      <c r="F607" s="5">
        <v>2420</v>
      </c>
      <c r="G607" s="5">
        <v>2011.06</v>
      </c>
      <c r="H607" s="6">
        <v>79751900</v>
      </c>
      <c r="I607" s="22" t="str">
        <f t="shared" si="65"/>
        <v>-</v>
      </c>
      <c r="J607" s="7">
        <f t="shared" si="66"/>
        <v>-1.6260162601626018</v>
      </c>
      <c r="K607" s="7">
        <f t="shared" si="67"/>
        <v>-32.03262356345104</v>
      </c>
      <c r="L607" s="2" t="str">
        <f t="shared" si="62"/>
        <v>Normal</v>
      </c>
      <c r="M607" s="2" t="str">
        <f t="shared" si="63"/>
        <v>Normal</v>
      </c>
      <c r="N607" s="2" t="str">
        <f t="shared" si="64"/>
        <v>No</v>
      </c>
    </row>
    <row r="608" spans="1:14" x14ac:dyDescent="0.25">
      <c r="A608" s="3">
        <v>44358</v>
      </c>
      <c r="B608" s="4">
        <v>2021</v>
      </c>
      <c r="C608" s="5">
        <v>2460</v>
      </c>
      <c r="D608" s="5">
        <v>2500</v>
      </c>
      <c r="E608" s="5">
        <v>2440</v>
      </c>
      <c r="F608" s="5">
        <v>2480</v>
      </c>
      <c r="G608" s="5">
        <v>2060.92</v>
      </c>
      <c r="H608" s="6">
        <v>94696000</v>
      </c>
      <c r="I608" s="22" t="str">
        <f t="shared" si="65"/>
        <v>+</v>
      </c>
      <c r="J608" s="7">
        <f t="shared" si="66"/>
        <v>2.4793388429752068</v>
      </c>
      <c r="K608" s="7">
        <f t="shared" si="67"/>
        <v>18.738236957364023</v>
      </c>
      <c r="L608" s="2" t="str">
        <f t="shared" si="62"/>
        <v>Normal</v>
      </c>
      <c r="M608" s="2" t="str">
        <f t="shared" si="63"/>
        <v>Normal</v>
      </c>
      <c r="N608" s="2" t="str">
        <f t="shared" si="64"/>
        <v>No</v>
      </c>
    </row>
    <row r="609" spans="1:14" x14ac:dyDescent="0.25">
      <c r="A609" s="3">
        <v>44361</v>
      </c>
      <c r="B609" s="4">
        <v>2021</v>
      </c>
      <c r="C609" s="5">
        <v>2470</v>
      </c>
      <c r="D609" s="5">
        <v>2470</v>
      </c>
      <c r="E609" s="5">
        <v>2400</v>
      </c>
      <c r="F609" s="5">
        <v>2410</v>
      </c>
      <c r="G609" s="5">
        <v>2002.75</v>
      </c>
      <c r="H609" s="6">
        <v>64557400</v>
      </c>
      <c r="I609" s="22" t="str">
        <f t="shared" si="65"/>
        <v>-</v>
      </c>
      <c r="J609" s="7">
        <f t="shared" si="66"/>
        <v>-2.82258064516129</v>
      </c>
      <c r="K609" s="7">
        <f t="shared" si="67"/>
        <v>-31.826687505280056</v>
      </c>
      <c r="L609" s="2" t="str">
        <f t="shared" si="62"/>
        <v>Normal</v>
      </c>
      <c r="M609" s="2" t="str">
        <f t="shared" si="63"/>
        <v>Normal</v>
      </c>
      <c r="N609" s="2" t="str">
        <f t="shared" si="64"/>
        <v>No</v>
      </c>
    </row>
    <row r="610" spans="1:14" x14ac:dyDescent="0.25">
      <c r="A610" s="3">
        <v>44362</v>
      </c>
      <c r="B610" s="4">
        <v>2021</v>
      </c>
      <c r="C610" s="5">
        <v>2390</v>
      </c>
      <c r="D610" s="5">
        <v>2390</v>
      </c>
      <c r="E610" s="5">
        <v>2340</v>
      </c>
      <c r="F610" s="5">
        <v>2360</v>
      </c>
      <c r="G610" s="5">
        <v>1961.2</v>
      </c>
      <c r="H610" s="6">
        <v>84189100</v>
      </c>
      <c r="I610" s="22" t="str">
        <f t="shared" si="65"/>
        <v>-</v>
      </c>
      <c r="J610" s="7">
        <f t="shared" si="66"/>
        <v>-2.0746887966804977</v>
      </c>
      <c r="K610" s="7">
        <f t="shared" si="67"/>
        <v>30.409681926471638</v>
      </c>
      <c r="L610" s="2" t="str">
        <f t="shared" si="62"/>
        <v>Normal</v>
      </c>
      <c r="M610" s="2" t="str">
        <f t="shared" si="63"/>
        <v>Normal</v>
      </c>
      <c r="N610" s="2" t="str">
        <f t="shared" si="64"/>
        <v>No</v>
      </c>
    </row>
    <row r="611" spans="1:14" x14ac:dyDescent="0.25">
      <c r="A611" s="3">
        <v>44363</v>
      </c>
      <c r="B611" s="4">
        <v>2021</v>
      </c>
      <c r="C611" s="5">
        <v>2330</v>
      </c>
      <c r="D611" s="5">
        <v>2360</v>
      </c>
      <c r="E611" s="5">
        <v>2300</v>
      </c>
      <c r="F611" s="5">
        <v>2320</v>
      </c>
      <c r="G611" s="5">
        <v>1927.96</v>
      </c>
      <c r="H611" s="6">
        <v>77248800</v>
      </c>
      <c r="I611" s="22" t="str">
        <f t="shared" si="65"/>
        <v>-</v>
      </c>
      <c r="J611" s="7">
        <f t="shared" si="66"/>
        <v>-1.6949152542372881</v>
      </c>
      <c r="K611" s="7">
        <f t="shared" si="67"/>
        <v>-8.2437037573747673</v>
      </c>
      <c r="L611" s="2" t="str">
        <f t="shared" si="62"/>
        <v>Normal</v>
      </c>
      <c r="M611" s="2" t="str">
        <f t="shared" si="63"/>
        <v>Normal</v>
      </c>
      <c r="N611" s="2" t="str">
        <f t="shared" si="64"/>
        <v>No</v>
      </c>
    </row>
    <row r="612" spans="1:14" x14ac:dyDescent="0.25">
      <c r="A612" s="3">
        <v>44364</v>
      </c>
      <c r="B612" s="4">
        <v>2021</v>
      </c>
      <c r="C612" s="5">
        <v>2290</v>
      </c>
      <c r="D612" s="5">
        <v>2350</v>
      </c>
      <c r="E612" s="5">
        <v>2260</v>
      </c>
      <c r="F612" s="5">
        <v>2330</v>
      </c>
      <c r="G612" s="5">
        <v>1936.27</v>
      </c>
      <c r="H612" s="6">
        <v>74868000</v>
      </c>
      <c r="I612" s="22" t="str">
        <f t="shared" si="65"/>
        <v>+</v>
      </c>
      <c r="J612" s="7">
        <f t="shared" si="66"/>
        <v>0.43103448275862066</v>
      </c>
      <c r="K612" s="7">
        <f t="shared" si="67"/>
        <v>-3.0819896231397768</v>
      </c>
      <c r="L612" s="2" t="str">
        <f t="shared" si="62"/>
        <v>Normal</v>
      </c>
      <c r="M612" s="2" t="str">
        <f t="shared" si="63"/>
        <v>Normal</v>
      </c>
      <c r="N612" s="2" t="str">
        <f t="shared" si="64"/>
        <v>No</v>
      </c>
    </row>
    <row r="613" spans="1:14" x14ac:dyDescent="0.25">
      <c r="A613" s="3">
        <v>44365</v>
      </c>
      <c r="B613" s="4">
        <v>2021</v>
      </c>
      <c r="C613" s="5">
        <v>2300</v>
      </c>
      <c r="D613" s="5">
        <v>2320</v>
      </c>
      <c r="E613" s="5">
        <v>2210</v>
      </c>
      <c r="F613" s="5">
        <v>2230</v>
      </c>
      <c r="G613" s="5">
        <v>1853.17</v>
      </c>
      <c r="H613" s="6">
        <v>125507700</v>
      </c>
      <c r="I613" s="22" t="str">
        <f t="shared" si="65"/>
        <v>-</v>
      </c>
      <c r="J613" s="7">
        <f t="shared" si="66"/>
        <v>-4.2918454935622314</v>
      </c>
      <c r="K613" s="7">
        <f t="shared" si="67"/>
        <v>67.638644013463704</v>
      </c>
      <c r="L613" s="2" t="str">
        <f t="shared" si="62"/>
        <v>Normal</v>
      </c>
      <c r="M613" s="2" t="str">
        <f t="shared" si="63"/>
        <v>Normal</v>
      </c>
      <c r="N613" s="2" t="str">
        <f t="shared" si="64"/>
        <v>No</v>
      </c>
    </row>
    <row r="614" spans="1:14" x14ac:dyDescent="0.25">
      <c r="A614" s="3">
        <v>44368</v>
      </c>
      <c r="B614" s="4">
        <v>2021</v>
      </c>
      <c r="C614" s="5">
        <v>2190</v>
      </c>
      <c r="D614" s="5">
        <v>2250</v>
      </c>
      <c r="E614" s="5">
        <v>2130</v>
      </c>
      <c r="F614" s="5">
        <v>2200</v>
      </c>
      <c r="G614" s="5">
        <v>1828.24</v>
      </c>
      <c r="H614" s="6">
        <v>100386700</v>
      </c>
      <c r="I614" s="22" t="str">
        <f t="shared" si="65"/>
        <v>-</v>
      </c>
      <c r="J614" s="7">
        <f t="shared" si="66"/>
        <v>-1.3452914798206279</v>
      </c>
      <c r="K614" s="7">
        <f t="shared" si="67"/>
        <v>-20.01550502479131</v>
      </c>
      <c r="L614" s="2" t="str">
        <f t="shared" si="62"/>
        <v>Normal</v>
      </c>
      <c r="M614" s="2" t="str">
        <f t="shared" si="63"/>
        <v>Normal</v>
      </c>
      <c r="N614" s="2" t="str">
        <f t="shared" si="64"/>
        <v>No</v>
      </c>
    </row>
    <row r="615" spans="1:14" x14ac:dyDescent="0.25">
      <c r="A615" s="3">
        <v>44369</v>
      </c>
      <c r="B615" s="4">
        <v>2021</v>
      </c>
      <c r="C615" s="5">
        <v>2250</v>
      </c>
      <c r="D615" s="5">
        <v>2300</v>
      </c>
      <c r="E615" s="5">
        <v>2220</v>
      </c>
      <c r="F615" s="5">
        <v>2260</v>
      </c>
      <c r="G615" s="5">
        <v>1878.1</v>
      </c>
      <c r="H615" s="6">
        <v>97671600</v>
      </c>
      <c r="I615" s="22" t="str">
        <f t="shared" si="65"/>
        <v>+</v>
      </c>
      <c r="J615" s="7">
        <f t="shared" si="66"/>
        <v>2.7272727272727271</v>
      </c>
      <c r="K615" s="7">
        <f t="shared" si="67"/>
        <v>-2.7046411526626537</v>
      </c>
      <c r="L615" s="2" t="str">
        <f t="shared" si="62"/>
        <v>Normal</v>
      </c>
      <c r="M615" s="2" t="str">
        <f t="shared" si="63"/>
        <v>Normal</v>
      </c>
      <c r="N615" s="2" t="str">
        <f t="shared" si="64"/>
        <v>No</v>
      </c>
    </row>
    <row r="616" spans="1:14" x14ac:dyDescent="0.25">
      <c r="A616" s="3">
        <v>44370</v>
      </c>
      <c r="B616" s="4">
        <v>2021</v>
      </c>
      <c r="C616" s="5">
        <v>2280</v>
      </c>
      <c r="D616" s="5">
        <v>2310</v>
      </c>
      <c r="E616" s="5">
        <v>2240</v>
      </c>
      <c r="F616" s="5">
        <v>2250</v>
      </c>
      <c r="G616" s="5">
        <v>1869.79</v>
      </c>
      <c r="H616" s="6">
        <v>64275900</v>
      </c>
      <c r="I616" s="22" t="str">
        <f t="shared" si="65"/>
        <v>-</v>
      </c>
      <c r="J616" s="7">
        <f t="shared" si="66"/>
        <v>-0.44247787610619471</v>
      </c>
      <c r="K616" s="7">
        <f t="shared" si="67"/>
        <v>-34.191822392589046</v>
      </c>
      <c r="L616" s="2" t="str">
        <f t="shared" si="62"/>
        <v>Normal</v>
      </c>
      <c r="M616" s="2" t="str">
        <f t="shared" si="63"/>
        <v>Normal</v>
      </c>
      <c r="N616" s="2" t="str">
        <f t="shared" si="64"/>
        <v>No</v>
      </c>
    </row>
    <row r="617" spans="1:14" x14ac:dyDescent="0.25">
      <c r="A617" s="3">
        <v>44371</v>
      </c>
      <c r="B617" s="4">
        <v>2021</v>
      </c>
      <c r="C617" s="5">
        <v>2280</v>
      </c>
      <c r="D617" s="5">
        <v>2290</v>
      </c>
      <c r="E617" s="5">
        <v>2240</v>
      </c>
      <c r="F617" s="5">
        <v>2250</v>
      </c>
      <c r="G617" s="5">
        <v>1869.79</v>
      </c>
      <c r="H617" s="6">
        <v>59257500</v>
      </c>
      <c r="I617" s="22" t="str">
        <f t="shared" si="65"/>
        <v>0</v>
      </c>
      <c r="J617" s="7">
        <f t="shared" si="66"/>
        <v>0</v>
      </c>
      <c r="K617" s="7">
        <f t="shared" si="67"/>
        <v>-7.8075919590390797</v>
      </c>
      <c r="L617" s="2" t="str">
        <f t="shared" si="62"/>
        <v>Normal</v>
      </c>
      <c r="M617" s="2" t="str">
        <f t="shared" si="63"/>
        <v>Normal</v>
      </c>
      <c r="N617" s="2" t="str">
        <f t="shared" si="64"/>
        <v>No</v>
      </c>
    </row>
    <row r="618" spans="1:14" x14ac:dyDescent="0.25">
      <c r="A618" s="3">
        <v>44372</v>
      </c>
      <c r="B618" s="4">
        <v>2021</v>
      </c>
      <c r="C618" s="5">
        <v>2310</v>
      </c>
      <c r="D618" s="5">
        <v>2340</v>
      </c>
      <c r="E618" s="5">
        <v>2280</v>
      </c>
      <c r="F618" s="5">
        <v>2300</v>
      </c>
      <c r="G618" s="5">
        <v>1911.34</v>
      </c>
      <c r="H618" s="6">
        <v>90478300</v>
      </c>
      <c r="I618" s="22" t="str">
        <f t="shared" si="65"/>
        <v>+</v>
      </c>
      <c r="J618" s="7">
        <f t="shared" si="66"/>
        <v>2.2222222222222223</v>
      </c>
      <c r="K618" s="7">
        <f t="shared" si="67"/>
        <v>52.686664135341523</v>
      </c>
      <c r="L618" s="2" t="str">
        <f t="shared" si="62"/>
        <v>Normal</v>
      </c>
      <c r="M618" s="2" t="str">
        <f t="shared" si="63"/>
        <v>Normal</v>
      </c>
      <c r="N618" s="2" t="str">
        <f t="shared" si="64"/>
        <v>No</v>
      </c>
    </row>
    <row r="619" spans="1:14" x14ac:dyDescent="0.25">
      <c r="A619" s="3">
        <v>44375</v>
      </c>
      <c r="B619" s="4">
        <v>2021</v>
      </c>
      <c r="C619" s="5">
        <v>2310</v>
      </c>
      <c r="D619" s="5">
        <v>2310</v>
      </c>
      <c r="E619" s="5">
        <v>2230</v>
      </c>
      <c r="F619" s="5">
        <v>2240</v>
      </c>
      <c r="G619" s="5">
        <v>1861.48</v>
      </c>
      <c r="H619" s="6">
        <v>65985000</v>
      </c>
      <c r="I619" s="22" t="str">
        <f t="shared" si="65"/>
        <v>-</v>
      </c>
      <c r="J619" s="7">
        <f t="shared" si="66"/>
        <v>-2.6086956521739131</v>
      </c>
      <c r="K619" s="7">
        <f t="shared" si="67"/>
        <v>-27.070910925603155</v>
      </c>
      <c r="L619" s="2" t="str">
        <f t="shared" si="62"/>
        <v>Normal</v>
      </c>
      <c r="M619" s="2" t="str">
        <f t="shared" si="63"/>
        <v>Normal</v>
      </c>
      <c r="N619" s="2" t="str">
        <f t="shared" si="64"/>
        <v>No</v>
      </c>
    </row>
    <row r="620" spans="1:14" x14ac:dyDescent="0.25">
      <c r="A620" s="3">
        <v>44376</v>
      </c>
      <c r="B620" s="4">
        <v>2021</v>
      </c>
      <c r="C620" s="5">
        <v>2230</v>
      </c>
      <c r="D620" s="5">
        <v>2250</v>
      </c>
      <c r="E620" s="5">
        <v>2210</v>
      </c>
      <c r="F620" s="5">
        <v>2220</v>
      </c>
      <c r="G620" s="5">
        <v>1844.86</v>
      </c>
      <c r="H620" s="6">
        <v>55524500</v>
      </c>
      <c r="I620" s="22" t="str">
        <f t="shared" si="65"/>
        <v>-</v>
      </c>
      <c r="J620" s="7">
        <f t="shared" si="66"/>
        <v>-0.89285714285714279</v>
      </c>
      <c r="K620" s="7">
        <f t="shared" si="67"/>
        <v>-15.852845343638705</v>
      </c>
      <c r="L620" s="2" t="str">
        <f t="shared" si="62"/>
        <v>Normal</v>
      </c>
      <c r="M620" s="2" t="str">
        <f t="shared" si="63"/>
        <v>Normal</v>
      </c>
      <c r="N620" s="2" t="str">
        <f t="shared" si="64"/>
        <v>No</v>
      </c>
    </row>
    <row r="621" spans="1:14" x14ac:dyDescent="0.25">
      <c r="A621" s="3">
        <v>44377</v>
      </c>
      <c r="B621" s="4">
        <v>2021</v>
      </c>
      <c r="C621" s="5">
        <v>2240</v>
      </c>
      <c r="D621" s="5">
        <v>2310</v>
      </c>
      <c r="E621" s="5">
        <v>2230</v>
      </c>
      <c r="F621" s="5">
        <v>2300</v>
      </c>
      <c r="G621" s="5">
        <v>1911.34</v>
      </c>
      <c r="H621" s="6">
        <v>95174800</v>
      </c>
      <c r="I621" s="22" t="str">
        <f t="shared" si="65"/>
        <v>+</v>
      </c>
      <c r="J621" s="7">
        <f t="shared" si="66"/>
        <v>3.6036036036036037</v>
      </c>
      <c r="K621" s="7">
        <f t="shared" si="67"/>
        <v>71.410458446271463</v>
      </c>
      <c r="L621" s="2" t="str">
        <f t="shared" si="62"/>
        <v>Normal</v>
      </c>
      <c r="M621" s="2" t="str">
        <f t="shared" si="63"/>
        <v>Normal</v>
      </c>
      <c r="N621" s="2" t="str">
        <f t="shared" si="64"/>
        <v>No</v>
      </c>
    </row>
    <row r="622" spans="1:14" x14ac:dyDescent="0.25">
      <c r="A622" s="3">
        <v>44378</v>
      </c>
      <c r="B622" s="4">
        <v>2021</v>
      </c>
      <c r="C622" s="5">
        <v>2280</v>
      </c>
      <c r="D622" s="5">
        <v>2310</v>
      </c>
      <c r="E622" s="5">
        <v>2200</v>
      </c>
      <c r="F622" s="5">
        <v>2230</v>
      </c>
      <c r="G622" s="5">
        <v>1853.17</v>
      </c>
      <c r="H622" s="6">
        <v>89606900</v>
      </c>
      <c r="I622" s="22" t="str">
        <f t="shared" si="65"/>
        <v>-</v>
      </c>
      <c r="J622" s="7">
        <f t="shared" si="66"/>
        <v>-3.0434782608695654</v>
      </c>
      <c r="K622" s="7">
        <f t="shared" si="67"/>
        <v>-5.85018303164283</v>
      </c>
      <c r="L622" s="2" t="str">
        <f t="shared" si="62"/>
        <v>Normal</v>
      </c>
      <c r="M622" s="2" t="str">
        <f t="shared" si="63"/>
        <v>Normal</v>
      </c>
      <c r="N622" s="2" t="str">
        <f t="shared" si="64"/>
        <v>No</v>
      </c>
    </row>
    <row r="623" spans="1:14" x14ac:dyDescent="0.25">
      <c r="A623" s="3">
        <v>44379</v>
      </c>
      <c r="B623" s="4">
        <v>2021</v>
      </c>
      <c r="C623" s="5">
        <v>2230</v>
      </c>
      <c r="D623" s="5">
        <v>2250</v>
      </c>
      <c r="E623" s="5">
        <v>2190</v>
      </c>
      <c r="F623" s="5">
        <v>2220</v>
      </c>
      <c r="G623" s="5">
        <v>1844.86</v>
      </c>
      <c r="H623" s="6">
        <v>57200500</v>
      </c>
      <c r="I623" s="22" t="str">
        <f t="shared" si="65"/>
        <v>-</v>
      </c>
      <c r="J623" s="7">
        <f t="shared" si="66"/>
        <v>-0.44843049327354262</v>
      </c>
      <c r="K623" s="7">
        <f t="shared" si="67"/>
        <v>-36.165072109402288</v>
      </c>
      <c r="L623" s="2" t="str">
        <f t="shared" si="62"/>
        <v>Normal</v>
      </c>
      <c r="M623" s="2" t="str">
        <f t="shared" si="63"/>
        <v>Normal</v>
      </c>
      <c r="N623" s="2" t="str">
        <f t="shared" si="64"/>
        <v>No</v>
      </c>
    </row>
    <row r="624" spans="1:14" x14ac:dyDescent="0.25">
      <c r="A624" s="3">
        <v>44382</v>
      </c>
      <c r="B624" s="4">
        <v>2021</v>
      </c>
      <c r="C624" s="5">
        <v>2230</v>
      </c>
      <c r="D624" s="5">
        <v>2260</v>
      </c>
      <c r="E624" s="5">
        <v>2220</v>
      </c>
      <c r="F624" s="5">
        <v>2240</v>
      </c>
      <c r="G624" s="5">
        <v>1861.48</v>
      </c>
      <c r="H624" s="6">
        <v>60698700</v>
      </c>
      <c r="I624" s="22" t="str">
        <f t="shared" si="65"/>
        <v>+</v>
      </c>
      <c r="J624" s="7">
        <f t="shared" si="66"/>
        <v>0.90090090090090091</v>
      </c>
      <c r="K624" s="7">
        <f t="shared" si="67"/>
        <v>6.115680806985953</v>
      </c>
      <c r="L624" s="2" t="str">
        <f t="shared" si="62"/>
        <v>Normal</v>
      </c>
      <c r="M624" s="2" t="str">
        <f t="shared" si="63"/>
        <v>Normal</v>
      </c>
      <c r="N624" s="2" t="str">
        <f t="shared" si="64"/>
        <v>No</v>
      </c>
    </row>
    <row r="625" spans="1:14" x14ac:dyDescent="0.25">
      <c r="A625" s="3">
        <v>44383</v>
      </c>
      <c r="B625" s="4">
        <v>2021</v>
      </c>
      <c r="C625" s="5">
        <v>2250</v>
      </c>
      <c r="D625" s="5">
        <v>2510</v>
      </c>
      <c r="E625" s="5">
        <v>2240</v>
      </c>
      <c r="F625" s="5">
        <v>2480</v>
      </c>
      <c r="G625" s="5">
        <v>2060.92</v>
      </c>
      <c r="H625" s="6">
        <v>365880400</v>
      </c>
      <c r="I625" s="22" t="str">
        <f t="shared" si="65"/>
        <v>+</v>
      </c>
      <c r="J625" s="7">
        <f t="shared" si="66"/>
        <v>10.714285714285714</v>
      </c>
      <c r="K625" s="7">
        <f t="shared" si="67"/>
        <v>502.78127867647913</v>
      </c>
      <c r="L625" s="2" t="str">
        <f t="shared" si="62"/>
        <v>Sharp Price Increase</v>
      </c>
      <c r="M625" s="2" t="str">
        <f t="shared" si="63"/>
        <v>Sharp Volume Increase</v>
      </c>
      <c r="N625" s="2" t="str">
        <f t="shared" si="64"/>
        <v>Yes</v>
      </c>
    </row>
    <row r="626" spans="1:14" x14ac:dyDescent="0.25">
      <c r="A626" s="3">
        <v>44384</v>
      </c>
      <c r="B626" s="4">
        <v>2021</v>
      </c>
      <c r="C626" s="5">
        <v>2450</v>
      </c>
      <c r="D626" s="5">
        <v>2470</v>
      </c>
      <c r="E626" s="5">
        <v>2380</v>
      </c>
      <c r="F626" s="5">
        <v>2460</v>
      </c>
      <c r="G626" s="5">
        <v>2044.3</v>
      </c>
      <c r="H626" s="6">
        <v>146473200</v>
      </c>
      <c r="I626" s="22" t="str">
        <f t="shared" si="65"/>
        <v>-</v>
      </c>
      <c r="J626" s="7">
        <f t="shared" si="66"/>
        <v>-0.80645161290322576</v>
      </c>
      <c r="K626" s="7">
        <f t="shared" si="67"/>
        <v>-59.966918151395923</v>
      </c>
      <c r="L626" s="2" t="str">
        <f t="shared" si="62"/>
        <v>Normal</v>
      </c>
      <c r="M626" s="2" t="str">
        <f t="shared" si="63"/>
        <v>Sharp Volume Decrease</v>
      </c>
      <c r="N626" s="2" t="str">
        <f t="shared" si="64"/>
        <v>No</v>
      </c>
    </row>
    <row r="627" spans="1:14" x14ac:dyDescent="0.25">
      <c r="A627" s="3">
        <v>44385</v>
      </c>
      <c r="B627" s="4">
        <v>2021</v>
      </c>
      <c r="C627" s="5">
        <v>2460</v>
      </c>
      <c r="D627" s="5">
        <v>2610</v>
      </c>
      <c r="E627" s="5">
        <v>2460</v>
      </c>
      <c r="F627" s="5">
        <v>2550</v>
      </c>
      <c r="G627" s="5">
        <v>2119.09</v>
      </c>
      <c r="H627" s="6">
        <v>227835500</v>
      </c>
      <c r="I627" s="22" t="str">
        <f t="shared" si="65"/>
        <v>+</v>
      </c>
      <c r="J627" s="7">
        <f t="shared" si="66"/>
        <v>3.6585365853658534</v>
      </c>
      <c r="K627" s="7">
        <f t="shared" si="67"/>
        <v>55.547567746181556</v>
      </c>
      <c r="L627" s="2" t="str">
        <f t="shared" si="62"/>
        <v>Normal</v>
      </c>
      <c r="M627" s="2" t="str">
        <f t="shared" si="63"/>
        <v>Normal</v>
      </c>
      <c r="N627" s="2" t="str">
        <f t="shared" si="64"/>
        <v>No</v>
      </c>
    </row>
    <row r="628" spans="1:14" x14ac:dyDescent="0.25">
      <c r="A628" s="3">
        <v>44386</v>
      </c>
      <c r="B628" s="4">
        <v>2021</v>
      </c>
      <c r="C628" s="5">
        <v>2560</v>
      </c>
      <c r="D628" s="5">
        <v>2630</v>
      </c>
      <c r="E628" s="5">
        <v>2530</v>
      </c>
      <c r="F628" s="5">
        <v>2590</v>
      </c>
      <c r="G628" s="5">
        <v>2152.33</v>
      </c>
      <c r="H628" s="6">
        <v>185723500</v>
      </c>
      <c r="I628" s="22" t="str">
        <f t="shared" si="65"/>
        <v>+</v>
      </c>
      <c r="J628" s="7">
        <f t="shared" si="66"/>
        <v>1.5686274509803921</v>
      </c>
      <c r="K628" s="7">
        <f t="shared" si="67"/>
        <v>-18.483511129740538</v>
      </c>
      <c r="L628" s="2" t="str">
        <f t="shared" si="62"/>
        <v>Normal</v>
      </c>
      <c r="M628" s="2" t="str">
        <f t="shared" si="63"/>
        <v>Normal</v>
      </c>
      <c r="N628" s="2" t="str">
        <f t="shared" si="64"/>
        <v>No</v>
      </c>
    </row>
    <row r="629" spans="1:14" x14ac:dyDescent="0.25">
      <c r="A629" s="3">
        <v>44389</v>
      </c>
      <c r="B629" s="4">
        <v>2021</v>
      </c>
      <c r="C629" s="5">
        <v>2610</v>
      </c>
      <c r="D629" s="5">
        <v>2670</v>
      </c>
      <c r="E629" s="5">
        <v>2520</v>
      </c>
      <c r="F629" s="5">
        <v>2550</v>
      </c>
      <c r="G629" s="5">
        <v>2119.09</v>
      </c>
      <c r="H629" s="6">
        <v>176941700</v>
      </c>
      <c r="I629" s="22" t="str">
        <f t="shared" si="65"/>
        <v>-</v>
      </c>
      <c r="J629" s="7">
        <f t="shared" si="66"/>
        <v>-1.5444015444015444</v>
      </c>
      <c r="K629" s="7">
        <f t="shared" si="67"/>
        <v>-4.7284269357404956</v>
      </c>
      <c r="L629" s="2" t="str">
        <f t="shared" si="62"/>
        <v>Normal</v>
      </c>
      <c r="M629" s="2" t="str">
        <f t="shared" si="63"/>
        <v>Normal</v>
      </c>
      <c r="N629" s="2" t="str">
        <f t="shared" si="64"/>
        <v>No</v>
      </c>
    </row>
    <row r="630" spans="1:14" x14ac:dyDescent="0.25">
      <c r="A630" s="3">
        <v>44390</v>
      </c>
      <c r="B630" s="4">
        <v>2021</v>
      </c>
      <c r="C630" s="5">
        <v>2560</v>
      </c>
      <c r="D630" s="5">
        <v>2610</v>
      </c>
      <c r="E630" s="5">
        <v>2500</v>
      </c>
      <c r="F630" s="5">
        <v>2540</v>
      </c>
      <c r="G630" s="5">
        <v>2110.7800000000002</v>
      </c>
      <c r="H630" s="6">
        <v>128321100</v>
      </c>
      <c r="I630" s="22" t="str">
        <f t="shared" si="65"/>
        <v>-</v>
      </c>
      <c r="J630" s="7">
        <f t="shared" si="66"/>
        <v>-0.39215686274509803</v>
      </c>
      <c r="K630" s="7">
        <f t="shared" si="67"/>
        <v>-27.47831630418381</v>
      </c>
      <c r="L630" s="2" t="str">
        <f t="shared" si="62"/>
        <v>Normal</v>
      </c>
      <c r="M630" s="2" t="str">
        <f t="shared" si="63"/>
        <v>Normal</v>
      </c>
      <c r="N630" s="2" t="str">
        <f t="shared" si="64"/>
        <v>No</v>
      </c>
    </row>
    <row r="631" spans="1:14" x14ac:dyDescent="0.25">
      <c r="A631" s="3">
        <v>44391</v>
      </c>
      <c r="B631" s="4">
        <v>2021</v>
      </c>
      <c r="C631" s="5">
        <v>2540</v>
      </c>
      <c r="D631" s="5">
        <v>2600</v>
      </c>
      <c r="E631" s="5">
        <v>2500</v>
      </c>
      <c r="F631" s="5">
        <v>2590</v>
      </c>
      <c r="G631" s="5">
        <v>2152.33</v>
      </c>
      <c r="H631" s="6">
        <v>73148100</v>
      </c>
      <c r="I631" s="22" t="str">
        <f t="shared" si="65"/>
        <v>+</v>
      </c>
      <c r="J631" s="7">
        <f t="shared" si="66"/>
        <v>1.9685039370078741</v>
      </c>
      <c r="K631" s="7">
        <f t="shared" si="67"/>
        <v>-42.996046636133883</v>
      </c>
      <c r="L631" s="2" t="str">
        <f t="shared" si="62"/>
        <v>Normal</v>
      </c>
      <c r="M631" s="2" t="str">
        <f t="shared" si="63"/>
        <v>Normal</v>
      </c>
      <c r="N631" s="2" t="str">
        <f t="shared" si="64"/>
        <v>No</v>
      </c>
    </row>
    <row r="632" spans="1:14" x14ac:dyDescent="0.25">
      <c r="A632" s="3">
        <v>44392</v>
      </c>
      <c r="B632" s="4">
        <v>2021</v>
      </c>
      <c r="C632" s="5">
        <v>2580</v>
      </c>
      <c r="D632" s="5">
        <v>2630</v>
      </c>
      <c r="E632" s="5">
        <v>2560</v>
      </c>
      <c r="F632" s="5">
        <v>2610</v>
      </c>
      <c r="G632" s="5">
        <v>2168.9499999999998</v>
      </c>
      <c r="H632" s="6">
        <v>107128500</v>
      </c>
      <c r="I632" s="22" t="str">
        <f t="shared" si="65"/>
        <v>+</v>
      </c>
      <c r="J632" s="7">
        <f t="shared" si="66"/>
        <v>0.77220077220077221</v>
      </c>
      <c r="K632" s="7">
        <f t="shared" si="67"/>
        <v>46.454248298998877</v>
      </c>
      <c r="L632" s="2" t="str">
        <f t="shared" si="62"/>
        <v>Normal</v>
      </c>
      <c r="M632" s="2" t="str">
        <f t="shared" si="63"/>
        <v>Normal</v>
      </c>
      <c r="N632" s="2" t="str">
        <f t="shared" si="64"/>
        <v>No</v>
      </c>
    </row>
    <row r="633" spans="1:14" x14ac:dyDescent="0.25">
      <c r="A633" s="3">
        <v>44393</v>
      </c>
      <c r="B633" s="4">
        <v>2021</v>
      </c>
      <c r="C633" s="5">
        <v>2630</v>
      </c>
      <c r="D633" s="5">
        <v>2690</v>
      </c>
      <c r="E633" s="5">
        <v>2610</v>
      </c>
      <c r="F633" s="5">
        <v>2620</v>
      </c>
      <c r="G633" s="5">
        <v>2177.2600000000002</v>
      </c>
      <c r="H633" s="6">
        <v>171972500</v>
      </c>
      <c r="I633" s="22" t="str">
        <f t="shared" si="65"/>
        <v>+</v>
      </c>
      <c r="J633" s="7">
        <f t="shared" si="66"/>
        <v>0.38314176245210724</v>
      </c>
      <c r="K633" s="7">
        <f t="shared" si="67"/>
        <v>60.529177576461912</v>
      </c>
      <c r="L633" s="2" t="str">
        <f t="shared" si="62"/>
        <v>Normal</v>
      </c>
      <c r="M633" s="2" t="str">
        <f t="shared" si="63"/>
        <v>Normal</v>
      </c>
      <c r="N633" s="2" t="str">
        <f t="shared" si="64"/>
        <v>No</v>
      </c>
    </row>
    <row r="634" spans="1:14" x14ac:dyDescent="0.25">
      <c r="A634" s="3">
        <v>44396</v>
      </c>
      <c r="B634" s="4">
        <v>2021</v>
      </c>
      <c r="C634" s="5">
        <v>2630</v>
      </c>
      <c r="D634" s="5">
        <v>2670</v>
      </c>
      <c r="E634" s="5">
        <v>2610</v>
      </c>
      <c r="F634" s="5">
        <v>2640</v>
      </c>
      <c r="G634" s="5">
        <v>2193.88</v>
      </c>
      <c r="H634" s="6">
        <v>74138600</v>
      </c>
      <c r="I634" s="22" t="str">
        <f t="shared" si="65"/>
        <v>+</v>
      </c>
      <c r="J634" s="7">
        <f t="shared" si="66"/>
        <v>0.76335877862595414</v>
      </c>
      <c r="K634" s="7">
        <f t="shared" si="67"/>
        <v>-56.889270086787135</v>
      </c>
      <c r="L634" s="2" t="str">
        <f t="shared" si="62"/>
        <v>Normal</v>
      </c>
      <c r="M634" s="2" t="str">
        <f t="shared" si="63"/>
        <v>Normal</v>
      </c>
      <c r="N634" s="2" t="str">
        <f t="shared" si="64"/>
        <v>No</v>
      </c>
    </row>
    <row r="635" spans="1:14" x14ac:dyDescent="0.25">
      <c r="A635" s="3">
        <v>44398</v>
      </c>
      <c r="B635" s="4">
        <v>2021</v>
      </c>
      <c r="C635" s="5">
        <v>2620</v>
      </c>
      <c r="D635" s="5">
        <v>2640</v>
      </c>
      <c r="E635" s="5">
        <v>2540</v>
      </c>
      <c r="F635" s="5">
        <v>2560</v>
      </c>
      <c r="G635" s="5">
        <v>2127.4</v>
      </c>
      <c r="H635" s="6">
        <v>99038100</v>
      </c>
      <c r="I635" s="22" t="str">
        <f t="shared" si="65"/>
        <v>-</v>
      </c>
      <c r="J635" s="7">
        <f t="shared" si="66"/>
        <v>-3.0303030303030303</v>
      </c>
      <c r="K635" s="7">
        <f t="shared" si="67"/>
        <v>33.585069046353723</v>
      </c>
      <c r="L635" s="2" t="str">
        <f t="shared" si="62"/>
        <v>Normal</v>
      </c>
      <c r="M635" s="2" t="str">
        <f t="shared" si="63"/>
        <v>Normal</v>
      </c>
      <c r="N635" s="2" t="str">
        <f t="shared" si="64"/>
        <v>No</v>
      </c>
    </row>
    <row r="636" spans="1:14" x14ac:dyDescent="0.25">
      <c r="A636" s="3">
        <v>44399</v>
      </c>
      <c r="B636" s="4">
        <v>2021</v>
      </c>
      <c r="C636" s="5">
        <v>2560</v>
      </c>
      <c r="D636" s="5">
        <v>2600</v>
      </c>
      <c r="E636" s="5">
        <v>2560</v>
      </c>
      <c r="F636" s="5">
        <v>2570</v>
      </c>
      <c r="G636" s="5">
        <v>2135.71</v>
      </c>
      <c r="H636" s="6">
        <v>59407500</v>
      </c>
      <c r="I636" s="22" t="str">
        <f t="shared" si="65"/>
        <v>+</v>
      </c>
      <c r="J636" s="7">
        <f t="shared" si="66"/>
        <v>0.390625</v>
      </c>
      <c r="K636" s="7">
        <f t="shared" si="67"/>
        <v>-40.015509182829639</v>
      </c>
      <c r="L636" s="2" t="str">
        <f t="shared" si="62"/>
        <v>Normal</v>
      </c>
      <c r="M636" s="2" t="str">
        <f t="shared" si="63"/>
        <v>Normal</v>
      </c>
      <c r="N636" s="2" t="str">
        <f t="shared" si="64"/>
        <v>No</v>
      </c>
    </row>
    <row r="637" spans="1:14" x14ac:dyDescent="0.25">
      <c r="A637" s="3">
        <v>44400</v>
      </c>
      <c r="B637" s="4">
        <v>2021</v>
      </c>
      <c r="C637" s="5">
        <v>2600</v>
      </c>
      <c r="D637" s="5">
        <v>2670</v>
      </c>
      <c r="E637" s="5">
        <v>2600</v>
      </c>
      <c r="F637" s="5">
        <v>2620</v>
      </c>
      <c r="G637" s="5">
        <v>2177.2600000000002</v>
      </c>
      <c r="H637" s="6">
        <v>130437900</v>
      </c>
      <c r="I637" s="22" t="str">
        <f t="shared" si="65"/>
        <v>+</v>
      </c>
      <c r="J637" s="7">
        <f t="shared" si="66"/>
        <v>1.9455252918287937</v>
      </c>
      <c r="K637" s="7">
        <f t="shared" si="67"/>
        <v>119.56470142658755</v>
      </c>
      <c r="L637" s="2" t="str">
        <f t="shared" si="62"/>
        <v>Normal</v>
      </c>
      <c r="M637" s="2" t="str">
        <f t="shared" si="63"/>
        <v>Normal</v>
      </c>
      <c r="N637" s="2" t="str">
        <f t="shared" si="64"/>
        <v>No</v>
      </c>
    </row>
    <row r="638" spans="1:14" x14ac:dyDescent="0.25">
      <c r="A638" s="3">
        <v>44403</v>
      </c>
      <c r="B638" s="4">
        <v>2021</v>
      </c>
      <c r="C638" s="5">
        <v>2660</v>
      </c>
      <c r="D638" s="5">
        <v>2730</v>
      </c>
      <c r="E638" s="5">
        <v>2610</v>
      </c>
      <c r="F638" s="5">
        <v>2630</v>
      </c>
      <c r="G638" s="5">
        <v>2185.5700000000002</v>
      </c>
      <c r="H638" s="6">
        <v>223203900</v>
      </c>
      <c r="I638" s="22" t="str">
        <f t="shared" si="65"/>
        <v>+</v>
      </c>
      <c r="J638" s="7">
        <f t="shared" si="66"/>
        <v>0.38167938931297707</v>
      </c>
      <c r="K638" s="7">
        <f t="shared" si="67"/>
        <v>71.11890025828383</v>
      </c>
      <c r="L638" s="2" t="str">
        <f t="shared" si="62"/>
        <v>Normal</v>
      </c>
      <c r="M638" s="2" t="str">
        <f t="shared" si="63"/>
        <v>Normal</v>
      </c>
      <c r="N638" s="2" t="str">
        <f t="shared" si="64"/>
        <v>No</v>
      </c>
    </row>
    <row r="639" spans="1:14" x14ac:dyDescent="0.25">
      <c r="A639" s="3">
        <v>44404</v>
      </c>
      <c r="B639" s="4">
        <v>2021</v>
      </c>
      <c r="C639" s="5">
        <v>2670</v>
      </c>
      <c r="D639" s="5">
        <v>2680</v>
      </c>
      <c r="E639" s="5">
        <v>2510</v>
      </c>
      <c r="F639" s="5">
        <v>2530</v>
      </c>
      <c r="G639" s="5">
        <v>2102.4699999999998</v>
      </c>
      <c r="H639" s="6">
        <v>126951200</v>
      </c>
      <c r="I639" s="22" t="str">
        <f t="shared" si="65"/>
        <v>-</v>
      </c>
      <c r="J639" s="7">
        <f t="shared" si="66"/>
        <v>-3.8022813688212929</v>
      </c>
      <c r="K639" s="7">
        <f t="shared" si="67"/>
        <v>-43.123216036995771</v>
      </c>
      <c r="L639" s="2" t="str">
        <f t="shared" si="62"/>
        <v>Normal</v>
      </c>
      <c r="M639" s="2" t="str">
        <f t="shared" si="63"/>
        <v>Normal</v>
      </c>
      <c r="N639" s="2" t="str">
        <f t="shared" si="64"/>
        <v>No</v>
      </c>
    </row>
    <row r="640" spans="1:14" x14ac:dyDescent="0.25">
      <c r="A640" s="3">
        <v>44405</v>
      </c>
      <c r="B640" s="4">
        <v>2021</v>
      </c>
      <c r="C640" s="5">
        <v>2540</v>
      </c>
      <c r="D640" s="5">
        <v>2590</v>
      </c>
      <c r="E640" s="5">
        <v>2500</v>
      </c>
      <c r="F640" s="5">
        <v>2520</v>
      </c>
      <c r="G640" s="5">
        <v>2094.16</v>
      </c>
      <c r="H640" s="6">
        <v>64034100</v>
      </c>
      <c r="I640" s="22" t="str">
        <f t="shared" si="65"/>
        <v>-</v>
      </c>
      <c r="J640" s="7">
        <f t="shared" si="66"/>
        <v>-0.39525691699604742</v>
      </c>
      <c r="K640" s="7">
        <f t="shared" si="67"/>
        <v>-49.560067175418588</v>
      </c>
      <c r="L640" s="2" t="str">
        <f t="shared" si="62"/>
        <v>Normal</v>
      </c>
      <c r="M640" s="2" t="str">
        <f t="shared" si="63"/>
        <v>Normal</v>
      </c>
      <c r="N640" s="2" t="str">
        <f t="shared" si="64"/>
        <v>No</v>
      </c>
    </row>
    <row r="641" spans="1:14" x14ac:dyDescent="0.25">
      <c r="A641" s="3">
        <v>44406</v>
      </c>
      <c r="B641" s="4">
        <v>2021</v>
      </c>
      <c r="C641" s="5">
        <v>2550</v>
      </c>
      <c r="D641" s="5">
        <v>2600</v>
      </c>
      <c r="E641" s="5">
        <v>2500</v>
      </c>
      <c r="F641" s="5">
        <v>2590</v>
      </c>
      <c r="G641" s="5">
        <v>2152.33</v>
      </c>
      <c r="H641" s="6">
        <v>90764300</v>
      </c>
      <c r="I641" s="22" t="str">
        <f t="shared" si="65"/>
        <v>+</v>
      </c>
      <c r="J641" s="7">
        <f t="shared" si="66"/>
        <v>2.7777777777777777</v>
      </c>
      <c r="K641" s="7">
        <f t="shared" si="67"/>
        <v>41.74369593700856</v>
      </c>
      <c r="L641" s="2" t="str">
        <f t="shared" si="62"/>
        <v>Normal</v>
      </c>
      <c r="M641" s="2" t="str">
        <f t="shared" si="63"/>
        <v>Normal</v>
      </c>
      <c r="N641" s="2" t="str">
        <f t="shared" si="64"/>
        <v>No</v>
      </c>
    </row>
    <row r="642" spans="1:14" x14ac:dyDescent="0.25">
      <c r="A642" s="3">
        <v>44407</v>
      </c>
      <c r="B642" s="4">
        <v>2021</v>
      </c>
      <c r="C642" s="5">
        <v>2590</v>
      </c>
      <c r="D642" s="5">
        <v>2590</v>
      </c>
      <c r="E642" s="5">
        <v>2510</v>
      </c>
      <c r="F642" s="5">
        <v>2520</v>
      </c>
      <c r="G642" s="5">
        <v>2094.16</v>
      </c>
      <c r="H642" s="6">
        <v>90628600</v>
      </c>
      <c r="I642" s="22" t="str">
        <f t="shared" si="65"/>
        <v>-</v>
      </c>
      <c r="J642" s="7">
        <f t="shared" si="66"/>
        <v>-2.7027027027027026</v>
      </c>
      <c r="K642" s="7">
        <f t="shared" si="67"/>
        <v>-0.14950812158524884</v>
      </c>
      <c r="L642" s="2" t="str">
        <f t="shared" si="62"/>
        <v>Normal</v>
      </c>
      <c r="M642" s="2" t="str">
        <f t="shared" si="63"/>
        <v>Normal</v>
      </c>
      <c r="N642" s="2" t="str">
        <f t="shared" si="64"/>
        <v>No</v>
      </c>
    </row>
    <row r="643" spans="1:14" x14ac:dyDescent="0.25">
      <c r="A643" s="3">
        <v>44410</v>
      </c>
      <c r="B643" s="4">
        <v>2021</v>
      </c>
      <c r="C643" s="5">
        <v>2520</v>
      </c>
      <c r="D643" s="5">
        <v>2520</v>
      </c>
      <c r="E643" s="5">
        <v>2440</v>
      </c>
      <c r="F643" s="5">
        <v>2510</v>
      </c>
      <c r="G643" s="5">
        <v>2085.85</v>
      </c>
      <c r="H643" s="6">
        <v>79180000</v>
      </c>
      <c r="I643" s="22" t="str">
        <f t="shared" si="65"/>
        <v>-</v>
      </c>
      <c r="J643" s="7">
        <f t="shared" si="66"/>
        <v>-0.3968253968253968</v>
      </c>
      <c r="K643" s="7">
        <f t="shared" si="67"/>
        <v>-12.63243611839971</v>
      </c>
      <c r="L643" s="2" t="str">
        <f t="shared" ref="L643:L706" si="68">IFERROR(IF(OR(J643="",ISBLANK(J643)),"Normal",IF(J643&lt;=$U$6,"Sharp Price Decrease",IF(J643&gt;=$U$7,"Sharp Price Increase","Normal"))),"Normal")</f>
        <v>Normal</v>
      </c>
      <c r="M643" s="2" t="str">
        <f t="shared" ref="M643:M706" si="69">IFERROR(IF(OR(K643="",ISBLANK(K643)),"Normal",IF(K643&lt;=$U$8,"Sharp Volume Decrease",IF(K643&gt;=$U$9,"Sharp Volume Increase","Normal"))),"Normal")</f>
        <v>Normal</v>
      </c>
      <c r="N643" s="2" t="str">
        <f t="shared" ref="N643:N706" si="70">IFERROR(IF(AND(OR(L643="Sharp Price Increase",L643="Sharp Price Decrease"),OR(M643="Sharp Volume Increase",M643="Sharp Volume Decrease")),"Yes","No"),"No")</f>
        <v>No</v>
      </c>
    </row>
    <row r="644" spans="1:14" x14ac:dyDescent="0.25">
      <c r="A644" s="3">
        <v>44411</v>
      </c>
      <c r="B644" s="4">
        <v>2021</v>
      </c>
      <c r="C644" s="5">
        <v>2490</v>
      </c>
      <c r="D644" s="5">
        <v>2520</v>
      </c>
      <c r="E644" s="5">
        <v>2440</v>
      </c>
      <c r="F644" s="5">
        <v>2470</v>
      </c>
      <c r="G644" s="5">
        <v>2052.61</v>
      </c>
      <c r="H644" s="6">
        <v>79440900</v>
      </c>
      <c r="I644" s="22" t="str">
        <f t="shared" ref="I644:I707" si="71">IFERROR(IF(OR(F643="",F644=""),"",IF(F644-F643&lt;0,"-",IF(F644-F643&gt;0,"+","0"))),"")</f>
        <v>-</v>
      </c>
      <c r="J644" s="7">
        <f t="shared" ref="J644:J707" si="72">(F644-F643)/F643*100</f>
        <v>-1.593625498007968</v>
      </c>
      <c r="K644" s="7">
        <f t="shared" ref="K644:K707" si="73">(H644-H643)/H643*100</f>
        <v>0.32950239959585753</v>
      </c>
      <c r="L644" s="2" t="str">
        <f t="shared" si="68"/>
        <v>Normal</v>
      </c>
      <c r="M644" s="2" t="str">
        <f t="shared" si="69"/>
        <v>Normal</v>
      </c>
      <c r="N644" s="2" t="str">
        <f t="shared" si="70"/>
        <v>No</v>
      </c>
    </row>
    <row r="645" spans="1:14" x14ac:dyDescent="0.25">
      <c r="A645" s="3">
        <v>44412</v>
      </c>
      <c r="B645" s="4">
        <v>2021</v>
      </c>
      <c r="C645" s="5">
        <v>2460</v>
      </c>
      <c r="D645" s="5">
        <v>2460</v>
      </c>
      <c r="E645" s="5">
        <v>2410</v>
      </c>
      <c r="F645" s="5">
        <v>2420</v>
      </c>
      <c r="G645" s="5">
        <v>2011.06</v>
      </c>
      <c r="H645" s="6">
        <v>75331700</v>
      </c>
      <c r="I645" s="22" t="str">
        <f t="shared" si="71"/>
        <v>-</v>
      </c>
      <c r="J645" s="7">
        <f t="shared" si="72"/>
        <v>-2.0242914979757085</v>
      </c>
      <c r="K645" s="7">
        <f t="shared" si="73"/>
        <v>-5.1726503602048819</v>
      </c>
      <c r="L645" s="2" t="str">
        <f t="shared" si="68"/>
        <v>Normal</v>
      </c>
      <c r="M645" s="2" t="str">
        <f t="shared" si="69"/>
        <v>Normal</v>
      </c>
      <c r="N645" s="2" t="str">
        <f t="shared" si="70"/>
        <v>No</v>
      </c>
    </row>
    <row r="646" spans="1:14" x14ac:dyDescent="0.25">
      <c r="A646" s="3">
        <v>44413</v>
      </c>
      <c r="B646" s="4">
        <v>2021</v>
      </c>
      <c r="C646" s="5">
        <v>2420</v>
      </c>
      <c r="D646" s="5">
        <v>2430</v>
      </c>
      <c r="E646" s="5">
        <v>2340</v>
      </c>
      <c r="F646" s="5">
        <v>2370</v>
      </c>
      <c r="G646" s="5">
        <v>1969.51</v>
      </c>
      <c r="H646" s="6">
        <v>105003300</v>
      </c>
      <c r="I646" s="22" t="str">
        <f t="shared" si="71"/>
        <v>-</v>
      </c>
      <c r="J646" s="7">
        <f t="shared" si="72"/>
        <v>-2.0661157024793391</v>
      </c>
      <c r="K646" s="7">
        <f t="shared" si="73"/>
        <v>39.387933632189373</v>
      </c>
      <c r="L646" s="2" t="str">
        <f t="shared" si="68"/>
        <v>Normal</v>
      </c>
      <c r="M646" s="2" t="str">
        <f t="shared" si="69"/>
        <v>Normal</v>
      </c>
      <c r="N646" s="2" t="str">
        <f t="shared" si="70"/>
        <v>No</v>
      </c>
    </row>
    <row r="647" spans="1:14" x14ac:dyDescent="0.25">
      <c r="A647" s="3">
        <v>44414</v>
      </c>
      <c r="B647" s="4">
        <v>2021</v>
      </c>
      <c r="C647" s="5">
        <v>2380</v>
      </c>
      <c r="D647" s="5">
        <v>2410</v>
      </c>
      <c r="E647" s="5">
        <v>2320</v>
      </c>
      <c r="F647" s="5">
        <v>2330</v>
      </c>
      <c r="G647" s="5">
        <v>1936.27</v>
      </c>
      <c r="H647" s="6">
        <v>73813800</v>
      </c>
      <c r="I647" s="22" t="str">
        <f t="shared" si="71"/>
        <v>-</v>
      </c>
      <c r="J647" s="7">
        <f t="shared" si="72"/>
        <v>-1.6877637130801686</v>
      </c>
      <c r="K647" s="7">
        <f t="shared" si="73"/>
        <v>-29.703352180360042</v>
      </c>
      <c r="L647" s="2" t="str">
        <f t="shared" si="68"/>
        <v>Normal</v>
      </c>
      <c r="M647" s="2" t="str">
        <f t="shared" si="69"/>
        <v>Normal</v>
      </c>
      <c r="N647" s="2" t="str">
        <f t="shared" si="70"/>
        <v>No</v>
      </c>
    </row>
    <row r="648" spans="1:14" x14ac:dyDescent="0.25">
      <c r="A648" s="3">
        <v>44417</v>
      </c>
      <c r="B648" s="4">
        <v>2021</v>
      </c>
      <c r="C648" s="5">
        <v>2300</v>
      </c>
      <c r="D648" s="5">
        <v>2310</v>
      </c>
      <c r="E648" s="5">
        <v>2250</v>
      </c>
      <c r="F648" s="5">
        <v>2260</v>
      </c>
      <c r="G648" s="5">
        <v>1878.1</v>
      </c>
      <c r="H648" s="6">
        <v>118970000</v>
      </c>
      <c r="I648" s="22" t="str">
        <f t="shared" si="71"/>
        <v>-</v>
      </c>
      <c r="J648" s="7">
        <f t="shared" si="72"/>
        <v>-3.0042918454935621</v>
      </c>
      <c r="K648" s="7">
        <f t="shared" si="73"/>
        <v>61.175823491000322</v>
      </c>
      <c r="L648" s="2" t="str">
        <f t="shared" si="68"/>
        <v>Normal</v>
      </c>
      <c r="M648" s="2" t="str">
        <f t="shared" si="69"/>
        <v>Normal</v>
      </c>
      <c r="N648" s="2" t="str">
        <f t="shared" si="70"/>
        <v>No</v>
      </c>
    </row>
    <row r="649" spans="1:14" x14ac:dyDescent="0.25">
      <c r="A649" s="3">
        <v>44418</v>
      </c>
      <c r="B649" s="4">
        <v>2021</v>
      </c>
      <c r="C649" s="5">
        <v>2270</v>
      </c>
      <c r="D649" s="5">
        <v>2370</v>
      </c>
      <c r="E649" s="5">
        <v>2240</v>
      </c>
      <c r="F649" s="5">
        <v>2340</v>
      </c>
      <c r="G649" s="5">
        <v>1944.58</v>
      </c>
      <c r="H649" s="6">
        <v>131980200</v>
      </c>
      <c r="I649" s="22" t="str">
        <f t="shared" si="71"/>
        <v>+</v>
      </c>
      <c r="J649" s="7">
        <f t="shared" si="72"/>
        <v>3.5398230088495577</v>
      </c>
      <c r="K649" s="7">
        <f t="shared" si="73"/>
        <v>10.935698075144995</v>
      </c>
      <c r="L649" s="2" t="str">
        <f t="shared" si="68"/>
        <v>Normal</v>
      </c>
      <c r="M649" s="2" t="str">
        <f t="shared" si="69"/>
        <v>Normal</v>
      </c>
      <c r="N649" s="2" t="str">
        <f t="shared" si="70"/>
        <v>No</v>
      </c>
    </row>
    <row r="650" spans="1:14" x14ac:dyDescent="0.25">
      <c r="A650" s="3">
        <v>44420</v>
      </c>
      <c r="B650" s="4">
        <v>2021</v>
      </c>
      <c r="C650" s="5">
        <v>2400</v>
      </c>
      <c r="D650" s="5">
        <v>2430</v>
      </c>
      <c r="E650" s="5">
        <v>2380</v>
      </c>
      <c r="F650" s="5">
        <v>2400</v>
      </c>
      <c r="G650" s="5">
        <v>1994.44</v>
      </c>
      <c r="H650" s="6">
        <v>127108900</v>
      </c>
      <c r="I650" s="22" t="str">
        <f t="shared" si="71"/>
        <v>+</v>
      </c>
      <c r="J650" s="7">
        <f t="shared" si="72"/>
        <v>2.5641025641025639</v>
      </c>
      <c r="K650" s="7">
        <f t="shared" si="73"/>
        <v>-3.6909324277429496</v>
      </c>
      <c r="L650" s="2" t="str">
        <f t="shared" si="68"/>
        <v>Normal</v>
      </c>
      <c r="M650" s="2" t="str">
        <f t="shared" si="69"/>
        <v>Normal</v>
      </c>
      <c r="N650" s="2" t="str">
        <f t="shared" si="70"/>
        <v>No</v>
      </c>
    </row>
    <row r="651" spans="1:14" x14ac:dyDescent="0.25">
      <c r="A651" s="3">
        <v>44421</v>
      </c>
      <c r="B651" s="4">
        <v>2021</v>
      </c>
      <c r="C651" s="5">
        <v>2410</v>
      </c>
      <c r="D651" s="5">
        <v>2410</v>
      </c>
      <c r="E651" s="5">
        <v>2350</v>
      </c>
      <c r="F651" s="5">
        <v>2380</v>
      </c>
      <c r="G651" s="5">
        <v>1977.82</v>
      </c>
      <c r="H651" s="6">
        <v>66587000</v>
      </c>
      <c r="I651" s="22" t="str">
        <f t="shared" si="71"/>
        <v>-</v>
      </c>
      <c r="J651" s="7">
        <f t="shared" si="72"/>
        <v>-0.83333333333333337</v>
      </c>
      <c r="K651" s="7">
        <f t="shared" si="73"/>
        <v>-47.614211121329816</v>
      </c>
      <c r="L651" s="2" t="str">
        <f t="shared" si="68"/>
        <v>Normal</v>
      </c>
      <c r="M651" s="2" t="str">
        <f t="shared" si="69"/>
        <v>Normal</v>
      </c>
      <c r="N651" s="2" t="str">
        <f t="shared" si="70"/>
        <v>No</v>
      </c>
    </row>
    <row r="652" spans="1:14" x14ac:dyDescent="0.25">
      <c r="A652" s="3">
        <v>44424</v>
      </c>
      <c r="B652" s="4">
        <v>2021</v>
      </c>
      <c r="C652" s="5">
        <v>2370</v>
      </c>
      <c r="D652" s="5">
        <v>2400</v>
      </c>
      <c r="E652" s="5">
        <v>2350</v>
      </c>
      <c r="F652" s="5">
        <v>2390</v>
      </c>
      <c r="G652" s="5">
        <v>1986.13</v>
      </c>
      <c r="H652" s="6">
        <v>48998000</v>
      </c>
      <c r="I652" s="22" t="str">
        <f t="shared" si="71"/>
        <v>+</v>
      </c>
      <c r="J652" s="7">
        <f t="shared" si="72"/>
        <v>0.42016806722689076</v>
      </c>
      <c r="K652" s="7">
        <f t="shared" si="73"/>
        <v>-26.415066003874632</v>
      </c>
      <c r="L652" s="2" t="str">
        <f t="shared" si="68"/>
        <v>Normal</v>
      </c>
      <c r="M652" s="2" t="str">
        <f t="shared" si="69"/>
        <v>Normal</v>
      </c>
      <c r="N652" s="2" t="str">
        <f t="shared" si="70"/>
        <v>No</v>
      </c>
    </row>
    <row r="653" spans="1:14" x14ac:dyDescent="0.25">
      <c r="A653" s="3">
        <v>44426</v>
      </c>
      <c r="B653" s="4">
        <v>2021</v>
      </c>
      <c r="C653" s="5">
        <v>2390</v>
      </c>
      <c r="D653" s="5">
        <v>2420</v>
      </c>
      <c r="E653" s="5">
        <v>2360</v>
      </c>
      <c r="F653" s="5">
        <v>2400</v>
      </c>
      <c r="G653" s="5">
        <v>1994.44</v>
      </c>
      <c r="H653" s="6">
        <v>85335000</v>
      </c>
      <c r="I653" s="22" t="str">
        <f t="shared" si="71"/>
        <v>+</v>
      </c>
      <c r="J653" s="7">
        <f t="shared" si="72"/>
        <v>0.41841004184100417</v>
      </c>
      <c r="K653" s="7">
        <f t="shared" si="73"/>
        <v>74.160169802849097</v>
      </c>
      <c r="L653" s="2" t="str">
        <f t="shared" si="68"/>
        <v>Normal</v>
      </c>
      <c r="M653" s="2" t="str">
        <f t="shared" si="69"/>
        <v>Normal</v>
      </c>
      <c r="N653" s="2" t="str">
        <f t="shared" si="70"/>
        <v>No</v>
      </c>
    </row>
    <row r="654" spans="1:14" x14ac:dyDescent="0.25">
      <c r="A654" s="3">
        <v>44427</v>
      </c>
      <c r="B654" s="4">
        <v>2021</v>
      </c>
      <c r="C654" s="5">
        <v>2380</v>
      </c>
      <c r="D654" s="5">
        <v>2380</v>
      </c>
      <c r="E654" s="5">
        <v>2270</v>
      </c>
      <c r="F654" s="5">
        <v>2270</v>
      </c>
      <c r="G654" s="5">
        <v>1886.41</v>
      </c>
      <c r="H654" s="6">
        <v>131304600</v>
      </c>
      <c r="I654" s="22" t="str">
        <f t="shared" si="71"/>
        <v>-</v>
      </c>
      <c r="J654" s="7">
        <f t="shared" si="72"/>
        <v>-5.416666666666667</v>
      </c>
      <c r="K654" s="7">
        <f t="shared" si="73"/>
        <v>53.869572859905077</v>
      </c>
      <c r="L654" s="2" t="str">
        <f t="shared" si="68"/>
        <v>Sharp Price Decrease</v>
      </c>
      <c r="M654" s="2" t="str">
        <f t="shared" si="69"/>
        <v>Normal</v>
      </c>
      <c r="N654" s="2" t="str">
        <f t="shared" si="70"/>
        <v>No</v>
      </c>
    </row>
    <row r="655" spans="1:14" x14ac:dyDescent="0.25">
      <c r="A655" s="3">
        <v>44428</v>
      </c>
      <c r="B655" s="4">
        <v>2021</v>
      </c>
      <c r="C655" s="5">
        <v>2240</v>
      </c>
      <c r="D655" s="5">
        <v>2320</v>
      </c>
      <c r="E655" s="5">
        <v>2240</v>
      </c>
      <c r="F655" s="5">
        <v>2280</v>
      </c>
      <c r="G655" s="5">
        <v>1894.72</v>
      </c>
      <c r="H655" s="6">
        <v>71969400</v>
      </c>
      <c r="I655" s="22" t="str">
        <f t="shared" si="71"/>
        <v>+</v>
      </c>
      <c r="J655" s="7">
        <f t="shared" si="72"/>
        <v>0.44052863436123352</v>
      </c>
      <c r="K655" s="7">
        <f t="shared" si="73"/>
        <v>-45.188972815880021</v>
      </c>
      <c r="L655" s="2" t="str">
        <f t="shared" si="68"/>
        <v>Normal</v>
      </c>
      <c r="M655" s="2" t="str">
        <f t="shared" si="69"/>
        <v>Normal</v>
      </c>
      <c r="N655" s="2" t="str">
        <f t="shared" si="70"/>
        <v>No</v>
      </c>
    </row>
    <row r="656" spans="1:14" x14ac:dyDescent="0.25">
      <c r="A656" s="3">
        <v>44431</v>
      </c>
      <c r="B656" s="4">
        <v>2021</v>
      </c>
      <c r="C656" s="5">
        <v>2310</v>
      </c>
      <c r="D656" s="5">
        <v>2330</v>
      </c>
      <c r="E656" s="5">
        <v>2280</v>
      </c>
      <c r="F656" s="5">
        <v>2290</v>
      </c>
      <c r="G656" s="5">
        <v>1903.03</v>
      </c>
      <c r="H656" s="6">
        <v>65261800</v>
      </c>
      <c r="I656" s="22" t="str">
        <f t="shared" si="71"/>
        <v>+</v>
      </c>
      <c r="J656" s="7">
        <f t="shared" si="72"/>
        <v>0.43859649122807015</v>
      </c>
      <c r="K656" s="7">
        <f t="shared" si="73"/>
        <v>-9.3200721417713641</v>
      </c>
      <c r="L656" s="2" t="str">
        <f t="shared" si="68"/>
        <v>Normal</v>
      </c>
      <c r="M656" s="2" t="str">
        <f t="shared" si="69"/>
        <v>Normal</v>
      </c>
      <c r="N656" s="2" t="str">
        <f t="shared" si="70"/>
        <v>No</v>
      </c>
    </row>
    <row r="657" spans="1:14" x14ac:dyDescent="0.25">
      <c r="A657" s="3">
        <v>44432</v>
      </c>
      <c r="B657" s="4">
        <v>2021</v>
      </c>
      <c r="C657" s="5">
        <v>2330</v>
      </c>
      <c r="D657" s="5">
        <v>2330</v>
      </c>
      <c r="E657" s="5">
        <v>2270</v>
      </c>
      <c r="F657" s="5">
        <v>2270</v>
      </c>
      <c r="G657" s="5">
        <v>1886.41</v>
      </c>
      <c r="H657" s="6">
        <v>43554200</v>
      </c>
      <c r="I657" s="22" t="str">
        <f t="shared" si="71"/>
        <v>-</v>
      </c>
      <c r="J657" s="7">
        <f t="shared" si="72"/>
        <v>-0.87336244541484709</v>
      </c>
      <c r="K657" s="7">
        <f t="shared" si="73"/>
        <v>-33.262337232500485</v>
      </c>
      <c r="L657" s="2" t="str">
        <f t="shared" si="68"/>
        <v>Normal</v>
      </c>
      <c r="M657" s="2" t="str">
        <f t="shared" si="69"/>
        <v>Normal</v>
      </c>
      <c r="N657" s="2" t="str">
        <f t="shared" si="70"/>
        <v>No</v>
      </c>
    </row>
    <row r="658" spans="1:14" x14ac:dyDescent="0.25">
      <c r="A658" s="3">
        <v>44433</v>
      </c>
      <c r="B658" s="4">
        <v>2021</v>
      </c>
      <c r="C658" s="5">
        <v>2290</v>
      </c>
      <c r="D658" s="5">
        <v>2340</v>
      </c>
      <c r="E658" s="5">
        <v>2280</v>
      </c>
      <c r="F658" s="5">
        <v>2300</v>
      </c>
      <c r="G658" s="5">
        <v>1911.34</v>
      </c>
      <c r="H658" s="6">
        <v>61473600</v>
      </c>
      <c r="I658" s="22" t="str">
        <f t="shared" si="71"/>
        <v>+</v>
      </c>
      <c r="J658" s="7">
        <f t="shared" si="72"/>
        <v>1.3215859030837005</v>
      </c>
      <c r="K658" s="7">
        <f t="shared" si="73"/>
        <v>41.14276005528744</v>
      </c>
      <c r="L658" s="2" t="str">
        <f t="shared" si="68"/>
        <v>Normal</v>
      </c>
      <c r="M658" s="2" t="str">
        <f t="shared" si="69"/>
        <v>Normal</v>
      </c>
      <c r="N658" s="2" t="str">
        <f t="shared" si="70"/>
        <v>No</v>
      </c>
    </row>
    <row r="659" spans="1:14" x14ac:dyDescent="0.25">
      <c r="A659" s="3">
        <v>44434</v>
      </c>
      <c r="B659" s="4">
        <v>2021</v>
      </c>
      <c r="C659" s="5">
        <v>2300</v>
      </c>
      <c r="D659" s="5">
        <v>2310</v>
      </c>
      <c r="E659" s="5">
        <v>2270</v>
      </c>
      <c r="F659" s="5">
        <v>2270</v>
      </c>
      <c r="G659" s="5">
        <v>1886.41</v>
      </c>
      <c r="H659" s="6">
        <v>30446800</v>
      </c>
      <c r="I659" s="22" t="str">
        <f t="shared" si="71"/>
        <v>-</v>
      </c>
      <c r="J659" s="7">
        <f t="shared" si="72"/>
        <v>-1.3043478260869565</v>
      </c>
      <c r="K659" s="7">
        <f t="shared" si="73"/>
        <v>-50.47174722157154</v>
      </c>
      <c r="L659" s="2" t="str">
        <f t="shared" si="68"/>
        <v>Normal</v>
      </c>
      <c r="M659" s="2" t="str">
        <f t="shared" si="69"/>
        <v>Normal</v>
      </c>
      <c r="N659" s="2" t="str">
        <f t="shared" si="70"/>
        <v>No</v>
      </c>
    </row>
    <row r="660" spans="1:14" x14ac:dyDescent="0.25">
      <c r="A660" s="3">
        <v>44435</v>
      </c>
      <c r="B660" s="4">
        <v>2021</v>
      </c>
      <c r="C660" s="5">
        <v>2270</v>
      </c>
      <c r="D660" s="5">
        <v>2290</v>
      </c>
      <c r="E660" s="5">
        <v>2250</v>
      </c>
      <c r="F660" s="5">
        <v>2260</v>
      </c>
      <c r="G660" s="5">
        <v>1878.1</v>
      </c>
      <c r="H660" s="6">
        <v>31806000</v>
      </c>
      <c r="I660" s="22" t="str">
        <f t="shared" si="71"/>
        <v>-</v>
      </c>
      <c r="J660" s="7">
        <f t="shared" si="72"/>
        <v>-0.44052863436123352</v>
      </c>
      <c r="K660" s="7">
        <f t="shared" si="73"/>
        <v>4.4641801437261055</v>
      </c>
      <c r="L660" s="2" t="str">
        <f t="shared" si="68"/>
        <v>Normal</v>
      </c>
      <c r="M660" s="2" t="str">
        <f t="shared" si="69"/>
        <v>Normal</v>
      </c>
      <c r="N660" s="2" t="str">
        <f t="shared" si="70"/>
        <v>No</v>
      </c>
    </row>
    <row r="661" spans="1:14" x14ac:dyDescent="0.25">
      <c r="A661" s="3">
        <v>44438</v>
      </c>
      <c r="B661" s="4">
        <v>2021</v>
      </c>
      <c r="C661" s="5">
        <v>2280</v>
      </c>
      <c r="D661" s="5">
        <v>2320</v>
      </c>
      <c r="E661" s="5">
        <v>2280</v>
      </c>
      <c r="F661" s="5">
        <v>2310</v>
      </c>
      <c r="G661" s="5">
        <v>1919.65</v>
      </c>
      <c r="H661" s="6">
        <v>37542900</v>
      </c>
      <c r="I661" s="22" t="str">
        <f t="shared" si="71"/>
        <v>+</v>
      </c>
      <c r="J661" s="7">
        <f t="shared" si="72"/>
        <v>2.2123893805309733</v>
      </c>
      <c r="K661" s="7">
        <f t="shared" si="73"/>
        <v>18.037162799471798</v>
      </c>
      <c r="L661" s="2" t="str">
        <f t="shared" si="68"/>
        <v>Normal</v>
      </c>
      <c r="M661" s="2" t="str">
        <f t="shared" si="69"/>
        <v>Normal</v>
      </c>
      <c r="N661" s="2" t="str">
        <f t="shared" si="70"/>
        <v>No</v>
      </c>
    </row>
    <row r="662" spans="1:14" x14ac:dyDescent="0.25">
      <c r="A662" s="3">
        <v>44439</v>
      </c>
      <c r="B662" s="4">
        <v>2021</v>
      </c>
      <c r="C662" s="5">
        <v>2350</v>
      </c>
      <c r="D662" s="5">
        <v>2400</v>
      </c>
      <c r="E662" s="5">
        <v>2320</v>
      </c>
      <c r="F662" s="5">
        <v>2390</v>
      </c>
      <c r="G662" s="5">
        <v>1986.13</v>
      </c>
      <c r="H662" s="6">
        <v>117729600</v>
      </c>
      <c r="I662" s="22" t="str">
        <f t="shared" si="71"/>
        <v>+</v>
      </c>
      <c r="J662" s="7">
        <f t="shared" si="72"/>
        <v>3.4632034632034632</v>
      </c>
      <c r="K662" s="7">
        <f t="shared" si="73"/>
        <v>213.58685663600841</v>
      </c>
      <c r="L662" s="2" t="str">
        <f t="shared" si="68"/>
        <v>Normal</v>
      </c>
      <c r="M662" s="2" t="str">
        <f t="shared" si="69"/>
        <v>Sharp Volume Increase</v>
      </c>
      <c r="N662" s="2" t="str">
        <f t="shared" si="70"/>
        <v>No</v>
      </c>
    </row>
    <row r="663" spans="1:14" x14ac:dyDescent="0.25">
      <c r="A663" s="3">
        <v>44440</v>
      </c>
      <c r="B663" s="4">
        <v>2021</v>
      </c>
      <c r="C663" s="5">
        <v>2390</v>
      </c>
      <c r="D663" s="5">
        <v>2430</v>
      </c>
      <c r="E663" s="5">
        <v>2370</v>
      </c>
      <c r="F663" s="5">
        <v>2390</v>
      </c>
      <c r="G663" s="5">
        <v>1986.13</v>
      </c>
      <c r="H663" s="6">
        <v>81067300</v>
      </c>
      <c r="I663" s="22" t="str">
        <f t="shared" si="71"/>
        <v>0</v>
      </c>
      <c r="J663" s="7">
        <f t="shared" si="72"/>
        <v>0</v>
      </c>
      <c r="K663" s="7">
        <f t="shared" si="73"/>
        <v>-31.141106399749933</v>
      </c>
      <c r="L663" s="2" t="str">
        <f t="shared" si="68"/>
        <v>Normal</v>
      </c>
      <c r="M663" s="2" t="str">
        <f t="shared" si="69"/>
        <v>Normal</v>
      </c>
      <c r="N663" s="2" t="str">
        <f t="shared" si="70"/>
        <v>No</v>
      </c>
    </row>
    <row r="664" spans="1:14" x14ac:dyDescent="0.25">
      <c r="A664" s="3">
        <v>44441</v>
      </c>
      <c r="B664" s="4">
        <v>2021</v>
      </c>
      <c r="C664" s="5">
        <v>2390</v>
      </c>
      <c r="D664" s="5">
        <v>2390</v>
      </c>
      <c r="E664" s="5">
        <v>2320</v>
      </c>
      <c r="F664" s="5">
        <v>2320</v>
      </c>
      <c r="G664" s="5">
        <v>1927.96</v>
      </c>
      <c r="H664" s="6">
        <v>44419100</v>
      </c>
      <c r="I664" s="22" t="str">
        <f t="shared" si="71"/>
        <v>-</v>
      </c>
      <c r="J664" s="7">
        <f t="shared" si="72"/>
        <v>-2.9288702928870292</v>
      </c>
      <c r="K664" s="7">
        <f t="shared" si="73"/>
        <v>-45.207130371925544</v>
      </c>
      <c r="L664" s="2" t="str">
        <f t="shared" si="68"/>
        <v>Normal</v>
      </c>
      <c r="M664" s="2" t="str">
        <f t="shared" si="69"/>
        <v>Normal</v>
      </c>
      <c r="N664" s="2" t="str">
        <f t="shared" si="70"/>
        <v>No</v>
      </c>
    </row>
    <row r="665" spans="1:14" x14ac:dyDescent="0.25">
      <c r="A665" s="3">
        <v>44442</v>
      </c>
      <c r="B665" s="4">
        <v>2021</v>
      </c>
      <c r="C665" s="5">
        <v>2320</v>
      </c>
      <c r="D665" s="5">
        <v>2350</v>
      </c>
      <c r="E665" s="5">
        <v>2300</v>
      </c>
      <c r="F665" s="5">
        <v>2350</v>
      </c>
      <c r="G665" s="5">
        <v>1952.89</v>
      </c>
      <c r="H665" s="6">
        <v>29176500</v>
      </c>
      <c r="I665" s="22" t="str">
        <f t="shared" si="71"/>
        <v>+</v>
      </c>
      <c r="J665" s="7">
        <f t="shared" si="72"/>
        <v>1.2931034482758621</v>
      </c>
      <c r="K665" s="7">
        <f t="shared" si="73"/>
        <v>-34.315418367323971</v>
      </c>
      <c r="L665" s="2" t="str">
        <f t="shared" si="68"/>
        <v>Normal</v>
      </c>
      <c r="M665" s="2" t="str">
        <f t="shared" si="69"/>
        <v>Normal</v>
      </c>
      <c r="N665" s="2" t="str">
        <f t="shared" si="70"/>
        <v>No</v>
      </c>
    </row>
    <row r="666" spans="1:14" x14ac:dyDescent="0.25">
      <c r="A666" s="3">
        <v>44445</v>
      </c>
      <c r="B666" s="4">
        <v>2021</v>
      </c>
      <c r="C666" s="5">
        <v>2380</v>
      </c>
      <c r="D666" s="5">
        <v>2400</v>
      </c>
      <c r="E666" s="5">
        <v>2340</v>
      </c>
      <c r="F666" s="5">
        <v>2380</v>
      </c>
      <c r="G666" s="5">
        <v>1977.82</v>
      </c>
      <c r="H666" s="6">
        <v>65055100</v>
      </c>
      <c r="I666" s="22" t="str">
        <f t="shared" si="71"/>
        <v>+</v>
      </c>
      <c r="J666" s="7">
        <f t="shared" si="72"/>
        <v>1.2765957446808509</v>
      </c>
      <c r="K666" s="7">
        <f t="shared" si="73"/>
        <v>122.97088410193136</v>
      </c>
      <c r="L666" s="2" t="str">
        <f t="shared" si="68"/>
        <v>Normal</v>
      </c>
      <c r="M666" s="2" t="str">
        <f t="shared" si="69"/>
        <v>Normal</v>
      </c>
      <c r="N666" s="2" t="str">
        <f t="shared" si="70"/>
        <v>No</v>
      </c>
    </row>
    <row r="667" spans="1:14" x14ac:dyDescent="0.25">
      <c r="A667" s="3">
        <v>44446</v>
      </c>
      <c r="B667" s="4">
        <v>2021</v>
      </c>
      <c r="C667" s="5">
        <v>2400</v>
      </c>
      <c r="D667" s="5">
        <v>2410</v>
      </c>
      <c r="E667" s="5">
        <v>2350</v>
      </c>
      <c r="F667" s="5">
        <v>2350</v>
      </c>
      <c r="G667" s="5">
        <v>1952.89</v>
      </c>
      <c r="H667" s="6">
        <v>33406100</v>
      </c>
      <c r="I667" s="22" t="str">
        <f t="shared" si="71"/>
        <v>-</v>
      </c>
      <c r="J667" s="7">
        <f t="shared" si="72"/>
        <v>-1.2605042016806722</v>
      </c>
      <c r="K667" s="7">
        <f t="shared" si="73"/>
        <v>-48.649529398924912</v>
      </c>
      <c r="L667" s="2" t="str">
        <f t="shared" si="68"/>
        <v>Normal</v>
      </c>
      <c r="M667" s="2" t="str">
        <f t="shared" si="69"/>
        <v>Normal</v>
      </c>
      <c r="N667" s="2" t="str">
        <f t="shared" si="70"/>
        <v>No</v>
      </c>
    </row>
    <row r="668" spans="1:14" x14ac:dyDescent="0.25">
      <c r="A668" s="3">
        <v>44447</v>
      </c>
      <c r="B668" s="4">
        <v>2021</v>
      </c>
      <c r="C668" s="5">
        <v>2350</v>
      </c>
      <c r="D668" s="5">
        <v>2380</v>
      </c>
      <c r="E668" s="5">
        <v>2300</v>
      </c>
      <c r="F668" s="5">
        <v>2320</v>
      </c>
      <c r="G668" s="5">
        <v>1927.96</v>
      </c>
      <c r="H668" s="6">
        <v>58229900</v>
      </c>
      <c r="I668" s="22" t="str">
        <f t="shared" si="71"/>
        <v>-</v>
      </c>
      <c r="J668" s="7">
        <f t="shared" si="72"/>
        <v>-1.2765957446808509</v>
      </c>
      <c r="K668" s="7">
        <f t="shared" si="73"/>
        <v>74.309183053394449</v>
      </c>
      <c r="L668" s="2" t="str">
        <f t="shared" si="68"/>
        <v>Normal</v>
      </c>
      <c r="M668" s="2" t="str">
        <f t="shared" si="69"/>
        <v>Normal</v>
      </c>
      <c r="N668" s="2" t="str">
        <f t="shared" si="70"/>
        <v>No</v>
      </c>
    </row>
    <row r="669" spans="1:14" x14ac:dyDescent="0.25">
      <c r="A669" s="3">
        <v>44448</v>
      </c>
      <c r="B669" s="4">
        <v>2021</v>
      </c>
      <c r="C669" s="5">
        <v>2330</v>
      </c>
      <c r="D669" s="5">
        <v>2450</v>
      </c>
      <c r="E669" s="5">
        <v>2290</v>
      </c>
      <c r="F669" s="5">
        <v>2440</v>
      </c>
      <c r="G669" s="5">
        <v>2027.68</v>
      </c>
      <c r="H669" s="6">
        <v>150815700</v>
      </c>
      <c r="I669" s="22" t="str">
        <f t="shared" si="71"/>
        <v>+</v>
      </c>
      <c r="J669" s="7">
        <f t="shared" si="72"/>
        <v>5.1724137931034484</v>
      </c>
      <c r="K669" s="7">
        <f t="shared" si="73"/>
        <v>159.00044478867386</v>
      </c>
      <c r="L669" s="2" t="str">
        <f t="shared" si="68"/>
        <v>Normal</v>
      </c>
      <c r="M669" s="2" t="str">
        <f t="shared" si="69"/>
        <v>Normal</v>
      </c>
      <c r="N669" s="2" t="str">
        <f t="shared" si="70"/>
        <v>No</v>
      </c>
    </row>
    <row r="670" spans="1:14" x14ac:dyDescent="0.25">
      <c r="A670" s="3">
        <v>44449</v>
      </c>
      <c r="B670" s="4">
        <v>2021</v>
      </c>
      <c r="C670" s="5">
        <v>2470</v>
      </c>
      <c r="D670" s="5">
        <v>2630</v>
      </c>
      <c r="E670" s="5">
        <v>2470</v>
      </c>
      <c r="F670" s="5">
        <v>2590</v>
      </c>
      <c r="G670" s="5">
        <v>2152.33</v>
      </c>
      <c r="H670" s="6">
        <v>423200100</v>
      </c>
      <c r="I670" s="22" t="str">
        <f t="shared" si="71"/>
        <v>+</v>
      </c>
      <c r="J670" s="7">
        <f t="shared" si="72"/>
        <v>6.1475409836065573</v>
      </c>
      <c r="K670" s="7">
        <f t="shared" si="73"/>
        <v>180.60745665073333</v>
      </c>
      <c r="L670" s="2" t="str">
        <f t="shared" si="68"/>
        <v>Sharp Price Increase</v>
      </c>
      <c r="M670" s="2" t="str">
        <f t="shared" si="69"/>
        <v>Sharp Volume Increase</v>
      </c>
      <c r="N670" s="2" t="str">
        <f t="shared" si="70"/>
        <v>Yes</v>
      </c>
    </row>
    <row r="671" spans="1:14" x14ac:dyDescent="0.25">
      <c r="A671" s="3">
        <v>44452</v>
      </c>
      <c r="B671" s="4">
        <v>2021</v>
      </c>
      <c r="C671" s="5">
        <v>2570</v>
      </c>
      <c r="D671" s="5">
        <v>2590</v>
      </c>
      <c r="E671" s="5">
        <v>2480</v>
      </c>
      <c r="F671" s="5">
        <v>2520</v>
      </c>
      <c r="G671" s="5">
        <v>2094.16</v>
      </c>
      <c r="H671" s="6">
        <v>131318700</v>
      </c>
      <c r="I671" s="22" t="str">
        <f t="shared" si="71"/>
        <v>-</v>
      </c>
      <c r="J671" s="7">
        <f t="shared" si="72"/>
        <v>-2.7027027027027026</v>
      </c>
      <c r="K671" s="7">
        <f t="shared" si="73"/>
        <v>-68.970068768887344</v>
      </c>
      <c r="L671" s="2" t="str">
        <f t="shared" si="68"/>
        <v>Normal</v>
      </c>
      <c r="M671" s="2" t="str">
        <f t="shared" si="69"/>
        <v>Sharp Volume Decrease</v>
      </c>
      <c r="N671" s="2" t="str">
        <f t="shared" si="70"/>
        <v>No</v>
      </c>
    </row>
    <row r="672" spans="1:14" x14ac:dyDescent="0.25">
      <c r="A672" s="3">
        <v>44453</v>
      </c>
      <c r="B672" s="4">
        <v>2021</v>
      </c>
      <c r="C672" s="5">
        <v>2500</v>
      </c>
      <c r="D672" s="5">
        <v>2500</v>
      </c>
      <c r="E672" s="5">
        <v>2440</v>
      </c>
      <c r="F672" s="5">
        <v>2470</v>
      </c>
      <c r="G672" s="5">
        <v>2052.61</v>
      </c>
      <c r="H672" s="6">
        <v>139289700</v>
      </c>
      <c r="I672" s="22" t="str">
        <f t="shared" si="71"/>
        <v>-</v>
      </c>
      <c r="J672" s="7">
        <f t="shared" si="72"/>
        <v>-1.984126984126984</v>
      </c>
      <c r="K672" s="7">
        <f t="shared" si="73"/>
        <v>6.0699656636868928</v>
      </c>
      <c r="L672" s="2" t="str">
        <f t="shared" si="68"/>
        <v>Normal</v>
      </c>
      <c r="M672" s="2" t="str">
        <f t="shared" si="69"/>
        <v>Normal</v>
      </c>
      <c r="N672" s="2" t="str">
        <f t="shared" si="70"/>
        <v>No</v>
      </c>
    </row>
    <row r="673" spans="1:14" x14ac:dyDescent="0.25">
      <c r="A673" s="3">
        <v>44454</v>
      </c>
      <c r="B673" s="4">
        <v>2021</v>
      </c>
      <c r="C673" s="5">
        <v>2470</v>
      </c>
      <c r="D673" s="5">
        <v>2530</v>
      </c>
      <c r="E673" s="5">
        <v>2460</v>
      </c>
      <c r="F673" s="5">
        <v>2490</v>
      </c>
      <c r="G673" s="5">
        <v>2069.23</v>
      </c>
      <c r="H673" s="6">
        <v>110525900</v>
      </c>
      <c r="I673" s="22" t="str">
        <f t="shared" si="71"/>
        <v>+</v>
      </c>
      <c r="J673" s="7">
        <f t="shared" si="72"/>
        <v>0.80971659919028338</v>
      </c>
      <c r="K673" s="7">
        <f t="shared" si="73"/>
        <v>-20.650342415842665</v>
      </c>
      <c r="L673" s="2" t="str">
        <f t="shared" si="68"/>
        <v>Normal</v>
      </c>
      <c r="M673" s="2" t="str">
        <f t="shared" si="69"/>
        <v>Normal</v>
      </c>
      <c r="N673" s="2" t="str">
        <f t="shared" si="70"/>
        <v>No</v>
      </c>
    </row>
    <row r="674" spans="1:14" x14ac:dyDescent="0.25">
      <c r="A674" s="3">
        <v>44455</v>
      </c>
      <c r="B674" s="4">
        <v>2021</v>
      </c>
      <c r="C674" s="5">
        <v>2520</v>
      </c>
      <c r="D674" s="5">
        <v>2550</v>
      </c>
      <c r="E674" s="5">
        <v>2390</v>
      </c>
      <c r="F674" s="5">
        <v>2410</v>
      </c>
      <c r="G674" s="5">
        <v>2002.75</v>
      </c>
      <c r="H674" s="6">
        <v>163306000</v>
      </c>
      <c r="I674" s="22" t="str">
        <f t="shared" si="71"/>
        <v>-</v>
      </c>
      <c r="J674" s="7">
        <f t="shared" si="72"/>
        <v>-3.2128514056224895</v>
      </c>
      <c r="K674" s="7">
        <f t="shared" si="73"/>
        <v>47.753603454032039</v>
      </c>
      <c r="L674" s="2" t="str">
        <f t="shared" si="68"/>
        <v>Normal</v>
      </c>
      <c r="M674" s="2" t="str">
        <f t="shared" si="69"/>
        <v>Normal</v>
      </c>
      <c r="N674" s="2" t="str">
        <f t="shared" si="70"/>
        <v>No</v>
      </c>
    </row>
    <row r="675" spans="1:14" x14ac:dyDescent="0.25">
      <c r="A675" s="3">
        <v>44456</v>
      </c>
      <c r="B675" s="4">
        <v>2021</v>
      </c>
      <c r="C675" s="5">
        <v>2370</v>
      </c>
      <c r="D675" s="5">
        <v>2430</v>
      </c>
      <c r="E675" s="5">
        <v>2370</v>
      </c>
      <c r="F675" s="5">
        <v>2400</v>
      </c>
      <c r="G675" s="5">
        <v>1994.44</v>
      </c>
      <c r="H675" s="6">
        <v>61535600</v>
      </c>
      <c r="I675" s="22" t="str">
        <f t="shared" si="71"/>
        <v>-</v>
      </c>
      <c r="J675" s="7">
        <f t="shared" si="72"/>
        <v>-0.41493775933609961</v>
      </c>
      <c r="K675" s="7">
        <f t="shared" si="73"/>
        <v>-62.318837029870302</v>
      </c>
      <c r="L675" s="2" t="str">
        <f t="shared" si="68"/>
        <v>Normal</v>
      </c>
      <c r="M675" s="2" t="str">
        <f t="shared" si="69"/>
        <v>Sharp Volume Decrease</v>
      </c>
      <c r="N675" s="2" t="str">
        <f t="shared" si="70"/>
        <v>No</v>
      </c>
    </row>
    <row r="676" spans="1:14" x14ac:dyDescent="0.25">
      <c r="A676" s="3">
        <v>44459</v>
      </c>
      <c r="B676" s="4">
        <v>2021</v>
      </c>
      <c r="C676" s="5">
        <v>2380</v>
      </c>
      <c r="D676" s="5">
        <v>2390</v>
      </c>
      <c r="E676" s="5">
        <v>2330</v>
      </c>
      <c r="F676" s="5">
        <v>2350</v>
      </c>
      <c r="G676" s="5">
        <v>1952.89</v>
      </c>
      <c r="H676" s="6">
        <v>82487500</v>
      </c>
      <c r="I676" s="22" t="str">
        <f t="shared" si="71"/>
        <v>-</v>
      </c>
      <c r="J676" s="7">
        <f t="shared" si="72"/>
        <v>-2.083333333333333</v>
      </c>
      <c r="K676" s="7">
        <f t="shared" si="73"/>
        <v>34.048420751564947</v>
      </c>
      <c r="L676" s="2" t="str">
        <f t="shared" si="68"/>
        <v>Normal</v>
      </c>
      <c r="M676" s="2" t="str">
        <f t="shared" si="69"/>
        <v>Normal</v>
      </c>
      <c r="N676" s="2" t="str">
        <f t="shared" si="70"/>
        <v>No</v>
      </c>
    </row>
    <row r="677" spans="1:14" x14ac:dyDescent="0.25">
      <c r="A677" s="3">
        <v>44460</v>
      </c>
      <c r="B677" s="4">
        <v>2021</v>
      </c>
      <c r="C677" s="5">
        <v>2350</v>
      </c>
      <c r="D677" s="5">
        <v>2370</v>
      </c>
      <c r="E677" s="5">
        <v>2300</v>
      </c>
      <c r="F677" s="5">
        <v>2360</v>
      </c>
      <c r="G677" s="5">
        <v>1961.2</v>
      </c>
      <c r="H677" s="6">
        <v>66014000</v>
      </c>
      <c r="I677" s="22" t="str">
        <f t="shared" si="71"/>
        <v>+</v>
      </c>
      <c r="J677" s="7">
        <f t="shared" si="72"/>
        <v>0.42553191489361702</v>
      </c>
      <c r="K677" s="7">
        <f t="shared" si="73"/>
        <v>-19.970904682527657</v>
      </c>
      <c r="L677" s="2" t="str">
        <f t="shared" si="68"/>
        <v>Normal</v>
      </c>
      <c r="M677" s="2" t="str">
        <f t="shared" si="69"/>
        <v>Normal</v>
      </c>
      <c r="N677" s="2" t="str">
        <f t="shared" si="70"/>
        <v>No</v>
      </c>
    </row>
    <row r="678" spans="1:14" x14ac:dyDescent="0.25">
      <c r="A678" s="3">
        <v>44461</v>
      </c>
      <c r="B678" s="4">
        <v>2021</v>
      </c>
      <c r="C678" s="5">
        <v>2370</v>
      </c>
      <c r="D678" s="5">
        <v>2410</v>
      </c>
      <c r="E678" s="5">
        <v>2330</v>
      </c>
      <c r="F678" s="5">
        <v>2340</v>
      </c>
      <c r="G678" s="5">
        <v>1944.58</v>
      </c>
      <c r="H678" s="6">
        <v>88209700</v>
      </c>
      <c r="I678" s="22" t="str">
        <f t="shared" si="71"/>
        <v>-</v>
      </c>
      <c r="J678" s="7">
        <f t="shared" si="72"/>
        <v>-0.84745762711864403</v>
      </c>
      <c r="K678" s="7">
        <f t="shared" si="73"/>
        <v>33.62271639349229</v>
      </c>
      <c r="L678" s="2" t="str">
        <f t="shared" si="68"/>
        <v>Normal</v>
      </c>
      <c r="M678" s="2" t="str">
        <f t="shared" si="69"/>
        <v>Normal</v>
      </c>
      <c r="N678" s="2" t="str">
        <f t="shared" si="70"/>
        <v>No</v>
      </c>
    </row>
    <row r="679" spans="1:14" x14ac:dyDescent="0.25">
      <c r="A679" s="3">
        <v>44462</v>
      </c>
      <c r="B679" s="4">
        <v>2021</v>
      </c>
      <c r="C679" s="5">
        <v>2370</v>
      </c>
      <c r="D679" s="5">
        <v>2370</v>
      </c>
      <c r="E679" s="5">
        <v>2290</v>
      </c>
      <c r="F679" s="5">
        <v>2290</v>
      </c>
      <c r="G679" s="5">
        <v>1903.03</v>
      </c>
      <c r="H679" s="6">
        <v>153137400</v>
      </c>
      <c r="I679" s="22" t="str">
        <f t="shared" si="71"/>
        <v>-</v>
      </c>
      <c r="J679" s="7">
        <f t="shared" si="72"/>
        <v>-2.1367521367521367</v>
      </c>
      <c r="K679" s="7">
        <f t="shared" si="73"/>
        <v>73.606077336165981</v>
      </c>
      <c r="L679" s="2" t="str">
        <f t="shared" si="68"/>
        <v>Normal</v>
      </c>
      <c r="M679" s="2" t="str">
        <f t="shared" si="69"/>
        <v>Normal</v>
      </c>
      <c r="N679" s="2" t="str">
        <f t="shared" si="70"/>
        <v>No</v>
      </c>
    </row>
    <row r="680" spans="1:14" x14ac:dyDescent="0.25">
      <c r="A680" s="3">
        <v>44463</v>
      </c>
      <c r="B680" s="4">
        <v>2021</v>
      </c>
      <c r="C680" s="5">
        <v>2290</v>
      </c>
      <c r="D680" s="5">
        <v>2340</v>
      </c>
      <c r="E680" s="5">
        <v>2280</v>
      </c>
      <c r="F680" s="5">
        <v>2290</v>
      </c>
      <c r="G680" s="5">
        <v>1903.03</v>
      </c>
      <c r="H680" s="6">
        <v>159085400</v>
      </c>
      <c r="I680" s="22" t="str">
        <f t="shared" si="71"/>
        <v>0</v>
      </c>
      <c r="J680" s="7">
        <f t="shared" si="72"/>
        <v>0</v>
      </c>
      <c r="K680" s="7">
        <f t="shared" si="73"/>
        <v>3.8840936309484162</v>
      </c>
      <c r="L680" s="2" t="str">
        <f t="shared" si="68"/>
        <v>Normal</v>
      </c>
      <c r="M680" s="2" t="str">
        <f t="shared" si="69"/>
        <v>Normal</v>
      </c>
      <c r="N680" s="2" t="str">
        <f t="shared" si="70"/>
        <v>No</v>
      </c>
    </row>
    <row r="681" spans="1:14" x14ac:dyDescent="0.25">
      <c r="A681" s="3">
        <v>44466</v>
      </c>
      <c r="B681" s="4">
        <v>2021</v>
      </c>
      <c r="C681" s="5">
        <v>2310</v>
      </c>
      <c r="D681" s="5">
        <v>2330</v>
      </c>
      <c r="E681" s="5">
        <v>2280</v>
      </c>
      <c r="F681" s="5">
        <v>2290</v>
      </c>
      <c r="G681" s="5">
        <v>1903.03</v>
      </c>
      <c r="H681" s="6">
        <v>52714300</v>
      </c>
      <c r="I681" s="22" t="str">
        <f t="shared" si="71"/>
        <v>0</v>
      </c>
      <c r="J681" s="7">
        <f t="shared" si="72"/>
        <v>0</v>
      </c>
      <c r="K681" s="7">
        <f t="shared" si="73"/>
        <v>-66.864149695698032</v>
      </c>
      <c r="L681" s="2" t="str">
        <f t="shared" si="68"/>
        <v>Normal</v>
      </c>
      <c r="M681" s="2" t="str">
        <f t="shared" si="69"/>
        <v>Sharp Volume Decrease</v>
      </c>
      <c r="N681" s="2" t="str">
        <f t="shared" si="70"/>
        <v>No</v>
      </c>
    </row>
    <row r="682" spans="1:14" x14ac:dyDescent="0.25">
      <c r="A682" s="3">
        <v>44467</v>
      </c>
      <c r="B682" s="4">
        <v>2021</v>
      </c>
      <c r="C682" s="5">
        <v>2310</v>
      </c>
      <c r="D682" s="5">
        <v>2330</v>
      </c>
      <c r="E682" s="5">
        <v>2260</v>
      </c>
      <c r="F682" s="5">
        <v>2270</v>
      </c>
      <c r="G682" s="5">
        <v>1886.41</v>
      </c>
      <c r="H682" s="6">
        <v>99767900</v>
      </c>
      <c r="I682" s="22" t="str">
        <f t="shared" si="71"/>
        <v>-</v>
      </c>
      <c r="J682" s="7">
        <f t="shared" si="72"/>
        <v>-0.87336244541484709</v>
      </c>
      <c r="K682" s="7">
        <f t="shared" si="73"/>
        <v>89.261547625596847</v>
      </c>
      <c r="L682" s="2" t="str">
        <f t="shared" si="68"/>
        <v>Normal</v>
      </c>
      <c r="M682" s="2" t="str">
        <f t="shared" si="69"/>
        <v>Normal</v>
      </c>
      <c r="N682" s="2" t="str">
        <f t="shared" si="70"/>
        <v>No</v>
      </c>
    </row>
    <row r="683" spans="1:14" x14ac:dyDescent="0.25">
      <c r="A683" s="3">
        <v>44468</v>
      </c>
      <c r="B683" s="4">
        <v>2021</v>
      </c>
      <c r="C683" s="5">
        <v>2260</v>
      </c>
      <c r="D683" s="5">
        <v>2320</v>
      </c>
      <c r="E683" s="5">
        <v>2250</v>
      </c>
      <c r="F683" s="5">
        <v>2310</v>
      </c>
      <c r="G683" s="5">
        <v>1919.65</v>
      </c>
      <c r="H683" s="6">
        <v>97068300</v>
      </c>
      <c r="I683" s="22" t="str">
        <f t="shared" si="71"/>
        <v>+</v>
      </c>
      <c r="J683" s="7">
        <f t="shared" si="72"/>
        <v>1.7621145374449341</v>
      </c>
      <c r="K683" s="7">
        <f t="shared" si="73"/>
        <v>-2.7058803482883773</v>
      </c>
      <c r="L683" s="2" t="str">
        <f t="shared" si="68"/>
        <v>Normal</v>
      </c>
      <c r="M683" s="2" t="str">
        <f t="shared" si="69"/>
        <v>Normal</v>
      </c>
      <c r="N683" s="2" t="str">
        <f t="shared" si="70"/>
        <v>No</v>
      </c>
    </row>
    <row r="684" spans="1:14" x14ac:dyDescent="0.25">
      <c r="A684" s="3">
        <v>44469</v>
      </c>
      <c r="B684" s="4">
        <v>2021</v>
      </c>
      <c r="C684" s="5">
        <v>2310</v>
      </c>
      <c r="D684" s="5">
        <v>2340</v>
      </c>
      <c r="E684" s="5">
        <v>2270</v>
      </c>
      <c r="F684" s="5">
        <v>2290</v>
      </c>
      <c r="G684" s="5">
        <v>1903.03</v>
      </c>
      <c r="H684" s="6">
        <v>125415100</v>
      </c>
      <c r="I684" s="22" t="str">
        <f t="shared" si="71"/>
        <v>-</v>
      </c>
      <c r="J684" s="7">
        <f t="shared" si="72"/>
        <v>-0.86580086580086579</v>
      </c>
      <c r="K684" s="7">
        <f t="shared" si="73"/>
        <v>29.202942670264132</v>
      </c>
      <c r="L684" s="2" t="str">
        <f t="shared" si="68"/>
        <v>Normal</v>
      </c>
      <c r="M684" s="2" t="str">
        <f t="shared" si="69"/>
        <v>Normal</v>
      </c>
      <c r="N684" s="2" t="str">
        <f t="shared" si="70"/>
        <v>No</v>
      </c>
    </row>
    <row r="685" spans="1:14" x14ac:dyDescent="0.25">
      <c r="A685" s="3">
        <v>44470</v>
      </c>
      <c r="B685" s="4">
        <v>2021</v>
      </c>
      <c r="C685" s="5">
        <v>2280</v>
      </c>
      <c r="D685" s="5">
        <v>2280</v>
      </c>
      <c r="E685" s="5">
        <v>2220</v>
      </c>
      <c r="F685" s="5">
        <v>2220</v>
      </c>
      <c r="G685" s="5">
        <v>1844.86</v>
      </c>
      <c r="H685" s="6">
        <v>199919600</v>
      </c>
      <c r="I685" s="22" t="str">
        <f t="shared" si="71"/>
        <v>-</v>
      </c>
      <c r="J685" s="7">
        <f t="shared" si="72"/>
        <v>-3.0567685589519651</v>
      </c>
      <c r="K685" s="7">
        <f t="shared" si="73"/>
        <v>59.406323480984348</v>
      </c>
      <c r="L685" s="2" t="str">
        <f t="shared" si="68"/>
        <v>Normal</v>
      </c>
      <c r="M685" s="2" t="str">
        <f t="shared" si="69"/>
        <v>Normal</v>
      </c>
      <c r="N685" s="2" t="str">
        <f t="shared" si="70"/>
        <v>No</v>
      </c>
    </row>
    <row r="686" spans="1:14" x14ac:dyDescent="0.25">
      <c r="A686" s="3">
        <v>44473</v>
      </c>
      <c r="B686" s="4">
        <v>2021</v>
      </c>
      <c r="C686" s="5">
        <v>2230</v>
      </c>
      <c r="D686" s="5">
        <v>2320</v>
      </c>
      <c r="E686" s="5">
        <v>2230</v>
      </c>
      <c r="F686" s="5">
        <v>2310</v>
      </c>
      <c r="G686" s="5">
        <v>1919.65</v>
      </c>
      <c r="H686" s="6">
        <v>143892700</v>
      </c>
      <c r="I686" s="22" t="str">
        <f t="shared" si="71"/>
        <v>+</v>
      </c>
      <c r="J686" s="7">
        <f t="shared" si="72"/>
        <v>4.0540540540540544</v>
      </c>
      <c r="K686" s="7">
        <f t="shared" si="73"/>
        <v>-28.024715935806192</v>
      </c>
      <c r="L686" s="2" t="str">
        <f t="shared" si="68"/>
        <v>Normal</v>
      </c>
      <c r="M686" s="2" t="str">
        <f t="shared" si="69"/>
        <v>Normal</v>
      </c>
      <c r="N686" s="2" t="str">
        <f t="shared" si="70"/>
        <v>No</v>
      </c>
    </row>
    <row r="687" spans="1:14" x14ac:dyDescent="0.25">
      <c r="A687" s="3">
        <v>44474</v>
      </c>
      <c r="B687" s="4">
        <v>2021</v>
      </c>
      <c r="C687" s="5">
        <v>2290</v>
      </c>
      <c r="D687" s="5">
        <v>2420</v>
      </c>
      <c r="E687" s="5">
        <v>2290</v>
      </c>
      <c r="F687" s="5">
        <v>2300</v>
      </c>
      <c r="G687" s="5">
        <v>1911.34</v>
      </c>
      <c r="H687" s="6">
        <v>297763700</v>
      </c>
      <c r="I687" s="22" t="str">
        <f t="shared" si="71"/>
        <v>-</v>
      </c>
      <c r="J687" s="7">
        <f t="shared" si="72"/>
        <v>-0.4329004329004329</v>
      </c>
      <c r="K687" s="7">
        <f t="shared" si="73"/>
        <v>106.93454219706769</v>
      </c>
      <c r="L687" s="2" t="str">
        <f t="shared" si="68"/>
        <v>Normal</v>
      </c>
      <c r="M687" s="2" t="str">
        <f t="shared" si="69"/>
        <v>Normal</v>
      </c>
      <c r="N687" s="2" t="str">
        <f t="shared" si="70"/>
        <v>No</v>
      </c>
    </row>
    <row r="688" spans="1:14" x14ac:dyDescent="0.25">
      <c r="A688" s="3">
        <v>44475</v>
      </c>
      <c r="B688" s="4">
        <v>2021</v>
      </c>
      <c r="C688" s="5">
        <v>2320</v>
      </c>
      <c r="D688" s="5">
        <v>2340</v>
      </c>
      <c r="E688" s="5">
        <v>2300</v>
      </c>
      <c r="F688" s="5">
        <v>2300</v>
      </c>
      <c r="G688" s="5">
        <v>1911.34</v>
      </c>
      <c r="H688" s="6">
        <v>98305700</v>
      </c>
      <c r="I688" s="22" t="str">
        <f t="shared" si="71"/>
        <v>0</v>
      </c>
      <c r="J688" s="7">
        <f t="shared" si="72"/>
        <v>0</v>
      </c>
      <c r="K688" s="7">
        <f t="shared" si="73"/>
        <v>-66.985330985610403</v>
      </c>
      <c r="L688" s="2" t="str">
        <f t="shared" si="68"/>
        <v>Normal</v>
      </c>
      <c r="M688" s="2" t="str">
        <f t="shared" si="69"/>
        <v>Sharp Volume Decrease</v>
      </c>
      <c r="N688" s="2" t="str">
        <f t="shared" si="70"/>
        <v>No</v>
      </c>
    </row>
    <row r="689" spans="1:14" x14ac:dyDescent="0.25">
      <c r="A689" s="3">
        <v>44476</v>
      </c>
      <c r="B689" s="4">
        <v>2021</v>
      </c>
      <c r="C689" s="5">
        <v>2320</v>
      </c>
      <c r="D689" s="5">
        <v>2350</v>
      </c>
      <c r="E689" s="5">
        <v>2300</v>
      </c>
      <c r="F689" s="5">
        <v>2330</v>
      </c>
      <c r="G689" s="5">
        <v>1936.27</v>
      </c>
      <c r="H689" s="6">
        <v>106183800</v>
      </c>
      <c r="I689" s="22" t="str">
        <f t="shared" si="71"/>
        <v>+</v>
      </c>
      <c r="J689" s="7">
        <f t="shared" si="72"/>
        <v>1.3043478260869565</v>
      </c>
      <c r="K689" s="7">
        <f t="shared" si="73"/>
        <v>8.0138791545149459</v>
      </c>
      <c r="L689" s="2" t="str">
        <f t="shared" si="68"/>
        <v>Normal</v>
      </c>
      <c r="M689" s="2" t="str">
        <f t="shared" si="69"/>
        <v>Normal</v>
      </c>
      <c r="N689" s="2" t="str">
        <f t="shared" si="70"/>
        <v>No</v>
      </c>
    </row>
    <row r="690" spans="1:14" x14ac:dyDescent="0.25">
      <c r="A690" s="3">
        <v>44477</v>
      </c>
      <c r="B690" s="4">
        <v>2021</v>
      </c>
      <c r="C690" s="5">
        <v>2380</v>
      </c>
      <c r="D690" s="5">
        <v>2410</v>
      </c>
      <c r="E690" s="5">
        <v>2330</v>
      </c>
      <c r="F690" s="5">
        <v>2340</v>
      </c>
      <c r="G690" s="5">
        <v>1944.58</v>
      </c>
      <c r="H690" s="6">
        <v>159593300</v>
      </c>
      <c r="I690" s="22" t="str">
        <f t="shared" si="71"/>
        <v>+</v>
      </c>
      <c r="J690" s="7">
        <f t="shared" si="72"/>
        <v>0.42918454935622319</v>
      </c>
      <c r="K690" s="7">
        <f t="shared" si="73"/>
        <v>50.299104006449191</v>
      </c>
      <c r="L690" s="2" t="str">
        <f t="shared" si="68"/>
        <v>Normal</v>
      </c>
      <c r="M690" s="2" t="str">
        <f t="shared" si="69"/>
        <v>Normal</v>
      </c>
      <c r="N690" s="2" t="str">
        <f t="shared" si="70"/>
        <v>No</v>
      </c>
    </row>
    <row r="691" spans="1:14" x14ac:dyDescent="0.25">
      <c r="A691" s="3">
        <v>44480</v>
      </c>
      <c r="B691" s="4">
        <v>2021</v>
      </c>
      <c r="C691" s="5">
        <v>2390</v>
      </c>
      <c r="D691" s="5">
        <v>2430</v>
      </c>
      <c r="E691" s="5">
        <v>2370</v>
      </c>
      <c r="F691" s="5">
        <v>2420</v>
      </c>
      <c r="G691" s="5">
        <v>2011.06</v>
      </c>
      <c r="H691" s="6">
        <v>233370800</v>
      </c>
      <c r="I691" s="22" t="str">
        <f t="shared" si="71"/>
        <v>+</v>
      </c>
      <c r="J691" s="7">
        <f t="shared" si="72"/>
        <v>3.4188034188034191</v>
      </c>
      <c r="K691" s="7">
        <f t="shared" si="73"/>
        <v>46.228444427178331</v>
      </c>
      <c r="L691" s="2" t="str">
        <f t="shared" si="68"/>
        <v>Normal</v>
      </c>
      <c r="M691" s="2" t="str">
        <f t="shared" si="69"/>
        <v>Normal</v>
      </c>
      <c r="N691" s="2" t="str">
        <f t="shared" si="70"/>
        <v>No</v>
      </c>
    </row>
    <row r="692" spans="1:14" x14ac:dyDescent="0.25">
      <c r="A692" s="3">
        <v>44481</v>
      </c>
      <c r="B692" s="4">
        <v>2021</v>
      </c>
      <c r="C692" s="5">
        <v>2410</v>
      </c>
      <c r="D692" s="5">
        <v>2410</v>
      </c>
      <c r="E692" s="5">
        <v>2350</v>
      </c>
      <c r="F692" s="5">
        <v>2370</v>
      </c>
      <c r="G692" s="5">
        <v>1969.51</v>
      </c>
      <c r="H692" s="6">
        <v>131463700</v>
      </c>
      <c r="I692" s="22" t="str">
        <f t="shared" si="71"/>
        <v>-</v>
      </c>
      <c r="J692" s="7">
        <f t="shared" si="72"/>
        <v>-2.0661157024793391</v>
      </c>
      <c r="K692" s="7">
        <f t="shared" si="73"/>
        <v>-43.667459682188174</v>
      </c>
      <c r="L692" s="2" t="str">
        <f t="shared" si="68"/>
        <v>Normal</v>
      </c>
      <c r="M692" s="2" t="str">
        <f t="shared" si="69"/>
        <v>Normal</v>
      </c>
      <c r="N692" s="2" t="str">
        <f t="shared" si="70"/>
        <v>No</v>
      </c>
    </row>
    <row r="693" spans="1:14" x14ac:dyDescent="0.25">
      <c r="A693" s="3">
        <v>44482</v>
      </c>
      <c r="B693" s="4">
        <v>2021</v>
      </c>
      <c r="C693" s="5">
        <v>2360</v>
      </c>
      <c r="D693" s="5">
        <v>2370</v>
      </c>
      <c r="E693" s="5">
        <v>2330</v>
      </c>
      <c r="F693" s="5">
        <v>2340</v>
      </c>
      <c r="G693" s="5">
        <v>1944.58</v>
      </c>
      <c r="H693" s="6">
        <v>70802000</v>
      </c>
      <c r="I693" s="22" t="str">
        <f t="shared" si="71"/>
        <v>-</v>
      </c>
      <c r="J693" s="7">
        <f t="shared" si="72"/>
        <v>-1.2658227848101267</v>
      </c>
      <c r="K693" s="7">
        <f t="shared" si="73"/>
        <v>-46.143308000611576</v>
      </c>
      <c r="L693" s="2" t="str">
        <f t="shared" si="68"/>
        <v>Normal</v>
      </c>
      <c r="M693" s="2" t="str">
        <f t="shared" si="69"/>
        <v>Normal</v>
      </c>
      <c r="N693" s="2" t="str">
        <f t="shared" si="70"/>
        <v>No</v>
      </c>
    </row>
    <row r="694" spans="1:14" x14ac:dyDescent="0.25">
      <c r="A694" s="3">
        <v>44483</v>
      </c>
      <c r="B694" s="4">
        <v>2021</v>
      </c>
      <c r="C694" s="5">
        <v>2350</v>
      </c>
      <c r="D694" s="5">
        <v>2420</v>
      </c>
      <c r="E694" s="5">
        <v>2340</v>
      </c>
      <c r="F694" s="5">
        <v>2420</v>
      </c>
      <c r="G694" s="5">
        <v>2011.06</v>
      </c>
      <c r="H694" s="6">
        <v>189624300</v>
      </c>
      <c r="I694" s="22" t="str">
        <f t="shared" si="71"/>
        <v>+</v>
      </c>
      <c r="J694" s="7">
        <f t="shared" si="72"/>
        <v>3.4188034188034191</v>
      </c>
      <c r="K694" s="7">
        <f t="shared" si="73"/>
        <v>167.82336657156577</v>
      </c>
      <c r="L694" s="2" t="str">
        <f t="shared" si="68"/>
        <v>Normal</v>
      </c>
      <c r="M694" s="2" t="str">
        <f t="shared" si="69"/>
        <v>Sharp Volume Increase</v>
      </c>
      <c r="N694" s="2" t="str">
        <f t="shared" si="70"/>
        <v>No</v>
      </c>
    </row>
    <row r="695" spans="1:14" x14ac:dyDescent="0.25">
      <c r="A695" s="3">
        <v>44484</v>
      </c>
      <c r="B695" s="4">
        <v>2021</v>
      </c>
      <c r="C695" s="5">
        <v>2450</v>
      </c>
      <c r="D695" s="5">
        <v>2480</v>
      </c>
      <c r="E695" s="5">
        <v>2410</v>
      </c>
      <c r="F695" s="5">
        <v>2470</v>
      </c>
      <c r="G695" s="5">
        <v>2052.61</v>
      </c>
      <c r="H695" s="6">
        <v>260095700</v>
      </c>
      <c r="I695" s="22" t="str">
        <f t="shared" si="71"/>
        <v>+</v>
      </c>
      <c r="J695" s="7">
        <f t="shared" si="72"/>
        <v>2.0661157024793391</v>
      </c>
      <c r="K695" s="7">
        <f t="shared" si="73"/>
        <v>37.163696846870366</v>
      </c>
      <c r="L695" s="2" t="str">
        <f t="shared" si="68"/>
        <v>Normal</v>
      </c>
      <c r="M695" s="2" t="str">
        <f t="shared" si="69"/>
        <v>Normal</v>
      </c>
      <c r="N695" s="2" t="str">
        <f t="shared" si="70"/>
        <v>No</v>
      </c>
    </row>
    <row r="696" spans="1:14" x14ac:dyDescent="0.25">
      <c r="A696" s="3">
        <v>44487</v>
      </c>
      <c r="B696" s="4">
        <v>2021</v>
      </c>
      <c r="C696" s="5">
        <v>2500</v>
      </c>
      <c r="D696" s="5">
        <v>2570</v>
      </c>
      <c r="E696" s="5">
        <v>2500</v>
      </c>
      <c r="F696" s="5">
        <v>2510</v>
      </c>
      <c r="G696" s="5">
        <v>2085.85</v>
      </c>
      <c r="H696" s="6">
        <v>237360500</v>
      </c>
      <c r="I696" s="22" t="str">
        <f t="shared" si="71"/>
        <v>+</v>
      </c>
      <c r="J696" s="7">
        <f t="shared" si="72"/>
        <v>1.6194331983805668</v>
      </c>
      <c r="K696" s="7">
        <f t="shared" si="73"/>
        <v>-8.7410902986862151</v>
      </c>
      <c r="L696" s="2" t="str">
        <f t="shared" si="68"/>
        <v>Normal</v>
      </c>
      <c r="M696" s="2" t="str">
        <f t="shared" si="69"/>
        <v>Normal</v>
      </c>
      <c r="N696" s="2" t="str">
        <f t="shared" si="70"/>
        <v>No</v>
      </c>
    </row>
    <row r="697" spans="1:14" x14ac:dyDescent="0.25">
      <c r="A697" s="3">
        <v>44488</v>
      </c>
      <c r="B697" s="4">
        <v>2021</v>
      </c>
      <c r="C697" s="5">
        <v>2530</v>
      </c>
      <c r="D697" s="5">
        <v>2540</v>
      </c>
      <c r="E697" s="5">
        <v>2460</v>
      </c>
      <c r="F697" s="5">
        <v>2530</v>
      </c>
      <c r="G697" s="5">
        <v>2102.4699999999998</v>
      </c>
      <c r="H697" s="6">
        <v>153636200</v>
      </c>
      <c r="I697" s="22" t="str">
        <f t="shared" si="71"/>
        <v>+</v>
      </c>
      <c r="J697" s="7">
        <f t="shared" si="72"/>
        <v>0.79681274900398402</v>
      </c>
      <c r="K697" s="7">
        <f t="shared" si="73"/>
        <v>-35.273055120797267</v>
      </c>
      <c r="L697" s="2" t="str">
        <f t="shared" si="68"/>
        <v>Normal</v>
      </c>
      <c r="M697" s="2" t="str">
        <f t="shared" si="69"/>
        <v>Normal</v>
      </c>
      <c r="N697" s="2" t="str">
        <f t="shared" si="70"/>
        <v>No</v>
      </c>
    </row>
    <row r="698" spans="1:14" x14ac:dyDescent="0.25">
      <c r="A698" s="3">
        <v>44490</v>
      </c>
      <c r="B698" s="4">
        <v>2021</v>
      </c>
      <c r="C698" s="5">
        <v>2600</v>
      </c>
      <c r="D698" s="5">
        <v>2630</v>
      </c>
      <c r="E698" s="5">
        <v>2420</v>
      </c>
      <c r="F698" s="5">
        <v>2450</v>
      </c>
      <c r="G698" s="5">
        <v>2035.99</v>
      </c>
      <c r="H698" s="6">
        <v>346789000</v>
      </c>
      <c r="I698" s="22" t="str">
        <f t="shared" si="71"/>
        <v>-</v>
      </c>
      <c r="J698" s="7">
        <f t="shared" si="72"/>
        <v>-3.1620553359683794</v>
      </c>
      <c r="K698" s="7">
        <f t="shared" si="73"/>
        <v>125.72089130035759</v>
      </c>
      <c r="L698" s="2" t="str">
        <f t="shared" si="68"/>
        <v>Normal</v>
      </c>
      <c r="M698" s="2" t="str">
        <f t="shared" si="69"/>
        <v>Normal</v>
      </c>
      <c r="N698" s="2" t="str">
        <f t="shared" si="70"/>
        <v>No</v>
      </c>
    </row>
    <row r="699" spans="1:14" x14ac:dyDescent="0.25">
      <c r="A699" s="3">
        <v>44491</v>
      </c>
      <c r="B699" s="4">
        <v>2021</v>
      </c>
      <c r="C699" s="5">
        <v>2400</v>
      </c>
      <c r="D699" s="5">
        <v>2460</v>
      </c>
      <c r="E699" s="5">
        <v>2370</v>
      </c>
      <c r="F699" s="5">
        <v>2430</v>
      </c>
      <c r="G699" s="5">
        <v>2019.37</v>
      </c>
      <c r="H699" s="6">
        <v>124149100</v>
      </c>
      <c r="I699" s="22" t="str">
        <f t="shared" si="71"/>
        <v>-</v>
      </c>
      <c r="J699" s="7">
        <f t="shared" si="72"/>
        <v>-0.81632653061224492</v>
      </c>
      <c r="K699" s="7">
        <f t="shared" si="73"/>
        <v>-64.20039274602135</v>
      </c>
      <c r="L699" s="2" t="str">
        <f t="shared" si="68"/>
        <v>Normal</v>
      </c>
      <c r="M699" s="2" t="str">
        <f t="shared" si="69"/>
        <v>Sharp Volume Decrease</v>
      </c>
      <c r="N699" s="2" t="str">
        <f t="shared" si="70"/>
        <v>No</v>
      </c>
    </row>
    <row r="700" spans="1:14" x14ac:dyDescent="0.25">
      <c r="A700" s="3">
        <v>44494</v>
      </c>
      <c r="B700" s="4">
        <v>2021</v>
      </c>
      <c r="C700" s="5">
        <v>2450</v>
      </c>
      <c r="D700" s="5">
        <v>2460</v>
      </c>
      <c r="E700" s="5">
        <v>2410</v>
      </c>
      <c r="F700" s="5">
        <v>2420</v>
      </c>
      <c r="G700" s="5">
        <v>2011.06</v>
      </c>
      <c r="H700" s="6">
        <v>50651600</v>
      </c>
      <c r="I700" s="22" t="str">
        <f t="shared" si="71"/>
        <v>-</v>
      </c>
      <c r="J700" s="7">
        <f t="shared" si="72"/>
        <v>-0.41152263374485598</v>
      </c>
      <c r="K700" s="7">
        <f t="shared" si="73"/>
        <v>-59.200992999546507</v>
      </c>
      <c r="L700" s="2" t="str">
        <f t="shared" si="68"/>
        <v>Normal</v>
      </c>
      <c r="M700" s="2" t="str">
        <f t="shared" si="69"/>
        <v>Sharp Volume Decrease</v>
      </c>
      <c r="N700" s="2" t="str">
        <f t="shared" si="70"/>
        <v>No</v>
      </c>
    </row>
    <row r="701" spans="1:14" x14ac:dyDescent="0.25">
      <c r="A701" s="3">
        <v>44495</v>
      </c>
      <c r="B701" s="4">
        <v>2021</v>
      </c>
      <c r="C701" s="5">
        <v>2450</v>
      </c>
      <c r="D701" s="5">
        <v>2460</v>
      </c>
      <c r="E701" s="5">
        <v>2400</v>
      </c>
      <c r="F701" s="5">
        <v>2400</v>
      </c>
      <c r="G701" s="5">
        <v>1994.44</v>
      </c>
      <c r="H701" s="6">
        <v>64791500</v>
      </c>
      <c r="I701" s="22" t="str">
        <f t="shared" si="71"/>
        <v>-</v>
      </c>
      <c r="J701" s="7">
        <f t="shared" si="72"/>
        <v>-0.82644628099173556</v>
      </c>
      <c r="K701" s="7">
        <f t="shared" si="73"/>
        <v>27.915998704878032</v>
      </c>
      <c r="L701" s="2" t="str">
        <f t="shared" si="68"/>
        <v>Normal</v>
      </c>
      <c r="M701" s="2" t="str">
        <f t="shared" si="69"/>
        <v>Normal</v>
      </c>
      <c r="N701" s="2" t="str">
        <f t="shared" si="70"/>
        <v>No</v>
      </c>
    </row>
    <row r="702" spans="1:14" x14ac:dyDescent="0.25">
      <c r="A702" s="3">
        <v>44496</v>
      </c>
      <c r="B702" s="4">
        <v>2021</v>
      </c>
      <c r="C702" s="5">
        <v>2400</v>
      </c>
      <c r="D702" s="5">
        <v>2410</v>
      </c>
      <c r="E702" s="5">
        <v>2340</v>
      </c>
      <c r="F702" s="5">
        <v>2350</v>
      </c>
      <c r="G702" s="5">
        <v>1952.89</v>
      </c>
      <c r="H702" s="6">
        <v>75548400</v>
      </c>
      <c r="I702" s="22" t="str">
        <f t="shared" si="71"/>
        <v>-</v>
      </c>
      <c r="J702" s="7">
        <f t="shared" si="72"/>
        <v>-2.083333333333333</v>
      </c>
      <c r="K702" s="7">
        <f t="shared" si="73"/>
        <v>16.602332096031112</v>
      </c>
      <c r="L702" s="2" t="str">
        <f t="shared" si="68"/>
        <v>Normal</v>
      </c>
      <c r="M702" s="2" t="str">
        <f t="shared" si="69"/>
        <v>Normal</v>
      </c>
      <c r="N702" s="2" t="str">
        <f t="shared" si="70"/>
        <v>No</v>
      </c>
    </row>
    <row r="703" spans="1:14" x14ac:dyDescent="0.25">
      <c r="A703" s="3">
        <v>44497</v>
      </c>
      <c r="B703" s="4">
        <v>2021</v>
      </c>
      <c r="C703" s="5">
        <v>2320</v>
      </c>
      <c r="D703" s="5">
        <v>2340</v>
      </c>
      <c r="E703" s="5">
        <v>2300</v>
      </c>
      <c r="F703" s="5">
        <v>2320</v>
      </c>
      <c r="G703" s="5">
        <v>1927.96</v>
      </c>
      <c r="H703" s="6">
        <v>77309100</v>
      </c>
      <c r="I703" s="22" t="str">
        <f t="shared" si="71"/>
        <v>-</v>
      </c>
      <c r="J703" s="7">
        <f t="shared" si="72"/>
        <v>-1.2765957446808509</v>
      </c>
      <c r="K703" s="7">
        <f t="shared" si="73"/>
        <v>2.3305589529361308</v>
      </c>
      <c r="L703" s="2" t="str">
        <f t="shared" si="68"/>
        <v>Normal</v>
      </c>
      <c r="M703" s="2" t="str">
        <f t="shared" si="69"/>
        <v>Normal</v>
      </c>
      <c r="N703" s="2" t="str">
        <f t="shared" si="70"/>
        <v>No</v>
      </c>
    </row>
    <row r="704" spans="1:14" x14ac:dyDescent="0.25">
      <c r="A704" s="3">
        <v>44498</v>
      </c>
      <c r="B704" s="4">
        <v>2021</v>
      </c>
      <c r="C704" s="5">
        <v>2340</v>
      </c>
      <c r="D704" s="5">
        <v>2370</v>
      </c>
      <c r="E704" s="5">
        <v>2330</v>
      </c>
      <c r="F704" s="5">
        <v>2340</v>
      </c>
      <c r="G704" s="5">
        <v>1944.58</v>
      </c>
      <c r="H704" s="6">
        <v>52556000</v>
      </c>
      <c r="I704" s="22" t="str">
        <f t="shared" si="71"/>
        <v>+</v>
      </c>
      <c r="J704" s="7">
        <f t="shared" si="72"/>
        <v>0.86206896551724133</v>
      </c>
      <c r="K704" s="7">
        <f t="shared" si="73"/>
        <v>-32.018352302639663</v>
      </c>
      <c r="L704" s="2" t="str">
        <f t="shared" si="68"/>
        <v>Normal</v>
      </c>
      <c r="M704" s="2" t="str">
        <f t="shared" si="69"/>
        <v>Normal</v>
      </c>
      <c r="N704" s="2" t="str">
        <f t="shared" si="70"/>
        <v>No</v>
      </c>
    </row>
    <row r="705" spans="1:14" x14ac:dyDescent="0.25">
      <c r="A705" s="3">
        <v>44501</v>
      </c>
      <c r="B705" s="4">
        <v>2021</v>
      </c>
      <c r="C705" s="5">
        <v>2360</v>
      </c>
      <c r="D705" s="5">
        <v>2360</v>
      </c>
      <c r="E705" s="5">
        <v>2320</v>
      </c>
      <c r="F705" s="5">
        <v>2330</v>
      </c>
      <c r="G705" s="5">
        <v>1936.27</v>
      </c>
      <c r="H705" s="6">
        <v>34622200</v>
      </c>
      <c r="I705" s="22" t="str">
        <f t="shared" si="71"/>
        <v>-</v>
      </c>
      <c r="J705" s="7">
        <f t="shared" si="72"/>
        <v>-0.42735042735042739</v>
      </c>
      <c r="K705" s="7">
        <f t="shared" si="73"/>
        <v>-34.123220945277417</v>
      </c>
      <c r="L705" s="2" t="str">
        <f t="shared" si="68"/>
        <v>Normal</v>
      </c>
      <c r="M705" s="2" t="str">
        <f t="shared" si="69"/>
        <v>Normal</v>
      </c>
      <c r="N705" s="2" t="str">
        <f t="shared" si="70"/>
        <v>No</v>
      </c>
    </row>
    <row r="706" spans="1:14" x14ac:dyDescent="0.25">
      <c r="A706" s="3">
        <v>44502</v>
      </c>
      <c r="B706" s="4">
        <v>2021</v>
      </c>
      <c r="C706" s="5">
        <v>2340</v>
      </c>
      <c r="D706" s="5">
        <v>2350</v>
      </c>
      <c r="E706" s="5">
        <v>2310</v>
      </c>
      <c r="F706" s="5">
        <v>2310</v>
      </c>
      <c r="G706" s="5">
        <v>1919.65</v>
      </c>
      <c r="H706" s="6">
        <v>27322900</v>
      </c>
      <c r="I706" s="22" t="str">
        <f t="shared" si="71"/>
        <v>-</v>
      </c>
      <c r="J706" s="7">
        <f t="shared" si="72"/>
        <v>-0.85836909871244638</v>
      </c>
      <c r="K706" s="7">
        <f t="shared" si="73"/>
        <v>-21.08271571419494</v>
      </c>
      <c r="L706" s="2" t="str">
        <f t="shared" si="68"/>
        <v>Normal</v>
      </c>
      <c r="M706" s="2" t="str">
        <f t="shared" si="69"/>
        <v>Normal</v>
      </c>
      <c r="N706" s="2" t="str">
        <f t="shared" si="70"/>
        <v>No</v>
      </c>
    </row>
    <row r="707" spans="1:14" x14ac:dyDescent="0.25">
      <c r="A707" s="3">
        <v>44503</v>
      </c>
      <c r="B707" s="4">
        <v>2021</v>
      </c>
      <c r="C707" s="5">
        <v>2320</v>
      </c>
      <c r="D707" s="5">
        <v>2340</v>
      </c>
      <c r="E707" s="5">
        <v>2310</v>
      </c>
      <c r="F707" s="5">
        <v>2320</v>
      </c>
      <c r="G707" s="5">
        <v>1927.96</v>
      </c>
      <c r="H707" s="6">
        <v>21938100</v>
      </c>
      <c r="I707" s="22" t="str">
        <f t="shared" si="71"/>
        <v>+</v>
      </c>
      <c r="J707" s="7">
        <f t="shared" si="72"/>
        <v>0.4329004329004329</v>
      </c>
      <c r="K707" s="7">
        <f t="shared" si="73"/>
        <v>-19.708010496689589</v>
      </c>
      <c r="L707" s="2" t="str">
        <f t="shared" ref="L707:L770" si="74">IFERROR(IF(OR(J707="",ISBLANK(J707)),"Normal",IF(J707&lt;=$U$6,"Sharp Price Decrease",IF(J707&gt;=$U$7,"Sharp Price Increase","Normal"))),"Normal")</f>
        <v>Normal</v>
      </c>
      <c r="M707" s="2" t="str">
        <f t="shared" ref="M707:M770" si="75">IFERROR(IF(OR(K707="",ISBLANK(K707)),"Normal",IF(K707&lt;=$U$8,"Sharp Volume Decrease",IF(K707&gt;=$U$9,"Sharp Volume Increase","Normal"))),"Normal")</f>
        <v>Normal</v>
      </c>
      <c r="N707" s="2" t="str">
        <f t="shared" ref="N707:N770" si="76">IFERROR(IF(AND(OR(L707="Sharp Price Increase",L707="Sharp Price Decrease"),OR(M707="Sharp Volume Increase",M707="Sharp Volume Decrease")),"Yes","No"),"No")</f>
        <v>No</v>
      </c>
    </row>
    <row r="708" spans="1:14" x14ac:dyDescent="0.25">
      <c r="A708" s="3">
        <v>44504</v>
      </c>
      <c r="B708" s="4">
        <v>2021</v>
      </c>
      <c r="C708" s="5">
        <v>2320</v>
      </c>
      <c r="D708" s="5">
        <v>2390</v>
      </c>
      <c r="E708" s="5">
        <v>2320</v>
      </c>
      <c r="F708" s="5">
        <v>2380</v>
      </c>
      <c r="G708" s="5">
        <v>1977.82</v>
      </c>
      <c r="H708" s="6">
        <v>67025700</v>
      </c>
      <c r="I708" s="22" t="str">
        <f t="shared" ref="I708:I771" si="77">IFERROR(IF(OR(F707="",F708=""),"",IF(F708-F707&lt;0,"-",IF(F708-F707&gt;0,"+","0"))),"")</f>
        <v>+</v>
      </c>
      <c r="J708" s="7">
        <f t="shared" ref="J708:J771" si="78">(F708-F707)/F707*100</f>
        <v>2.5862068965517242</v>
      </c>
      <c r="K708" s="7">
        <f t="shared" ref="K708:K771" si="79">(H708-H707)/H707*100</f>
        <v>205.52190025571952</v>
      </c>
      <c r="L708" s="2" t="str">
        <f t="shared" si="74"/>
        <v>Normal</v>
      </c>
      <c r="M708" s="2" t="str">
        <f t="shared" si="75"/>
        <v>Sharp Volume Increase</v>
      </c>
      <c r="N708" s="2" t="str">
        <f t="shared" si="76"/>
        <v>No</v>
      </c>
    </row>
    <row r="709" spans="1:14" x14ac:dyDescent="0.25">
      <c r="A709" s="3">
        <v>44505</v>
      </c>
      <c r="B709" s="4">
        <v>2021</v>
      </c>
      <c r="C709" s="5">
        <v>2390</v>
      </c>
      <c r="D709" s="5">
        <v>2400</v>
      </c>
      <c r="E709" s="5">
        <v>2340</v>
      </c>
      <c r="F709" s="5">
        <v>2360</v>
      </c>
      <c r="G709" s="5">
        <v>1961.2</v>
      </c>
      <c r="H709" s="6">
        <v>40241200</v>
      </c>
      <c r="I709" s="22" t="str">
        <f t="shared" si="77"/>
        <v>-</v>
      </c>
      <c r="J709" s="7">
        <f t="shared" si="78"/>
        <v>-0.84033613445378152</v>
      </c>
      <c r="K709" s="7">
        <f t="shared" si="79"/>
        <v>-39.961537141723248</v>
      </c>
      <c r="L709" s="2" t="str">
        <f t="shared" si="74"/>
        <v>Normal</v>
      </c>
      <c r="M709" s="2" t="str">
        <f t="shared" si="75"/>
        <v>Normal</v>
      </c>
      <c r="N709" s="2" t="str">
        <f t="shared" si="76"/>
        <v>No</v>
      </c>
    </row>
    <row r="710" spans="1:14" x14ac:dyDescent="0.25">
      <c r="A710" s="3">
        <v>44508</v>
      </c>
      <c r="B710" s="4">
        <v>2021</v>
      </c>
      <c r="C710" s="5">
        <v>2380</v>
      </c>
      <c r="D710" s="5">
        <v>2400</v>
      </c>
      <c r="E710" s="5">
        <v>2350</v>
      </c>
      <c r="F710" s="5">
        <v>2370</v>
      </c>
      <c r="G710" s="5">
        <v>1969.51</v>
      </c>
      <c r="H710" s="6">
        <v>46985500</v>
      </c>
      <c r="I710" s="22" t="str">
        <f t="shared" si="77"/>
        <v>+</v>
      </c>
      <c r="J710" s="7">
        <f t="shared" si="78"/>
        <v>0.42372881355932202</v>
      </c>
      <c r="K710" s="7">
        <f t="shared" si="79"/>
        <v>16.759689074878484</v>
      </c>
      <c r="L710" s="2" t="str">
        <f t="shared" si="74"/>
        <v>Normal</v>
      </c>
      <c r="M710" s="2" t="str">
        <f t="shared" si="75"/>
        <v>Normal</v>
      </c>
      <c r="N710" s="2" t="str">
        <f t="shared" si="76"/>
        <v>No</v>
      </c>
    </row>
    <row r="711" spans="1:14" x14ac:dyDescent="0.25">
      <c r="A711" s="3">
        <v>44509</v>
      </c>
      <c r="B711" s="4">
        <v>2021</v>
      </c>
      <c r="C711" s="5">
        <v>2380</v>
      </c>
      <c r="D711" s="5">
        <v>2390</v>
      </c>
      <c r="E711" s="5">
        <v>2330</v>
      </c>
      <c r="F711" s="5">
        <v>2340</v>
      </c>
      <c r="G711" s="5">
        <v>1944.58</v>
      </c>
      <c r="H711" s="6">
        <v>44444800</v>
      </c>
      <c r="I711" s="22" t="str">
        <f t="shared" si="77"/>
        <v>-</v>
      </c>
      <c r="J711" s="7">
        <f t="shared" si="78"/>
        <v>-1.2658227848101267</v>
      </c>
      <c r="K711" s="7">
        <f t="shared" si="79"/>
        <v>-5.4074129252641772</v>
      </c>
      <c r="L711" s="2" t="str">
        <f t="shared" si="74"/>
        <v>Normal</v>
      </c>
      <c r="M711" s="2" t="str">
        <f t="shared" si="75"/>
        <v>Normal</v>
      </c>
      <c r="N711" s="2" t="str">
        <f t="shared" si="76"/>
        <v>No</v>
      </c>
    </row>
    <row r="712" spans="1:14" x14ac:dyDescent="0.25">
      <c r="A712" s="3">
        <v>44510</v>
      </c>
      <c r="B712" s="4">
        <v>2021</v>
      </c>
      <c r="C712" s="5">
        <v>2330</v>
      </c>
      <c r="D712" s="5">
        <v>2350</v>
      </c>
      <c r="E712" s="5">
        <v>2320</v>
      </c>
      <c r="F712" s="5">
        <v>2340</v>
      </c>
      <c r="G712" s="5">
        <v>1944.58</v>
      </c>
      <c r="H712" s="6">
        <v>38322000</v>
      </c>
      <c r="I712" s="22" t="str">
        <f t="shared" si="77"/>
        <v>0</v>
      </c>
      <c r="J712" s="7">
        <f t="shared" si="78"/>
        <v>0</v>
      </c>
      <c r="K712" s="7">
        <f t="shared" si="79"/>
        <v>-13.776189790481677</v>
      </c>
      <c r="L712" s="2" t="str">
        <f t="shared" si="74"/>
        <v>Normal</v>
      </c>
      <c r="M712" s="2" t="str">
        <f t="shared" si="75"/>
        <v>Normal</v>
      </c>
      <c r="N712" s="2" t="str">
        <f t="shared" si="76"/>
        <v>No</v>
      </c>
    </row>
    <row r="713" spans="1:14" x14ac:dyDescent="0.25">
      <c r="A713" s="3">
        <v>44511</v>
      </c>
      <c r="B713" s="4">
        <v>2021</v>
      </c>
      <c r="C713" s="5">
        <v>2350</v>
      </c>
      <c r="D713" s="5">
        <v>2370</v>
      </c>
      <c r="E713" s="5">
        <v>2340</v>
      </c>
      <c r="F713" s="5">
        <v>2370</v>
      </c>
      <c r="G713" s="5">
        <v>1969.51</v>
      </c>
      <c r="H713" s="6">
        <v>41526700</v>
      </c>
      <c r="I713" s="22" t="str">
        <f t="shared" si="77"/>
        <v>+</v>
      </c>
      <c r="J713" s="7">
        <f t="shared" si="78"/>
        <v>1.2820512820512819</v>
      </c>
      <c r="K713" s="7">
        <f t="shared" si="79"/>
        <v>8.3625593653775887</v>
      </c>
      <c r="L713" s="2" t="str">
        <f t="shared" si="74"/>
        <v>Normal</v>
      </c>
      <c r="M713" s="2" t="str">
        <f t="shared" si="75"/>
        <v>Normal</v>
      </c>
      <c r="N713" s="2" t="str">
        <f t="shared" si="76"/>
        <v>No</v>
      </c>
    </row>
    <row r="714" spans="1:14" x14ac:dyDescent="0.25">
      <c r="A714" s="3">
        <v>44512</v>
      </c>
      <c r="B714" s="4">
        <v>2021</v>
      </c>
      <c r="C714" s="5">
        <v>2380</v>
      </c>
      <c r="D714" s="5">
        <v>2420</v>
      </c>
      <c r="E714" s="5">
        <v>2370</v>
      </c>
      <c r="F714" s="5">
        <v>2400</v>
      </c>
      <c r="G714" s="5">
        <v>1994.44</v>
      </c>
      <c r="H714" s="6">
        <v>80769500</v>
      </c>
      <c r="I714" s="22" t="str">
        <f t="shared" si="77"/>
        <v>+</v>
      </c>
      <c r="J714" s="7">
        <f t="shared" si="78"/>
        <v>1.2658227848101267</v>
      </c>
      <c r="K714" s="7">
        <f t="shared" si="79"/>
        <v>94.50016495411387</v>
      </c>
      <c r="L714" s="2" t="str">
        <f t="shared" si="74"/>
        <v>Normal</v>
      </c>
      <c r="M714" s="2" t="str">
        <f t="shared" si="75"/>
        <v>Normal</v>
      </c>
      <c r="N714" s="2" t="str">
        <f t="shared" si="76"/>
        <v>No</v>
      </c>
    </row>
    <row r="715" spans="1:14" x14ac:dyDescent="0.25">
      <c r="A715" s="3">
        <v>44515</v>
      </c>
      <c r="B715" s="4">
        <v>2021</v>
      </c>
      <c r="C715" s="5">
        <v>2420</v>
      </c>
      <c r="D715" s="5">
        <v>2430</v>
      </c>
      <c r="E715" s="5">
        <v>2340</v>
      </c>
      <c r="F715" s="5">
        <v>2390</v>
      </c>
      <c r="G715" s="5">
        <v>1986.13</v>
      </c>
      <c r="H715" s="6">
        <v>100184600</v>
      </c>
      <c r="I715" s="22" t="str">
        <f t="shared" si="77"/>
        <v>-</v>
      </c>
      <c r="J715" s="7">
        <f t="shared" si="78"/>
        <v>-0.41666666666666669</v>
      </c>
      <c r="K715" s="7">
        <f t="shared" si="79"/>
        <v>24.037662731600417</v>
      </c>
      <c r="L715" s="2" t="str">
        <f t="shared" si="74"/>
        <v>Normal</v>
      </c>
      <c r="M715" s="2" t="str">
        <f t="shared" si="75"/>
        <v>Normal</v>
      </c>
      <c r="N715" s="2" t="str">
        <f t="shared" si="76"/>
        <v>No</v>
      </c>
    </row>
    <row r="716" spans="1:14" x14ac:dyDescent="0.25">
      <c r="A716" s="3">
        <v>44516</v>
      </c>
      <c r="B716" s="4">
        <v>2021</v>
      </c>
      <c r="C716" s="5">
        <v>2390</v>
      </c>
      <c r="D716" s="5">
        <v>2410</v>
      </c>
      <c r="E716" s="5">
        <v>2370</v>
      </c>
      <c r="F716" s="5">
        <v>2380</v>
      </c>
      <c r="G716" s="5">
        <v>1977.82</v>
      </c>
      <c r="H716" s="6">
        <v>47663300</v>
      </c>
      <c r="I716" s="22" t="str">
        <f t="shared" si="77"/>
        <v>-</v>
      </c>
      <c r="J716" s="7">
        <f t="shared" si="78"/>
        <v>-0.41841004184100417</v>
      </c>
      <c r="K716" s="7">
        <f t="shared" si="79"/>
        <v>-52.424524328090349</v>
      </c>
      <c r="L716" s="2" t="str">
        <f t="shared" si="74"/>
        <v>Normal</v>
      </c>
      <c r="M716" s="2" t="str">
        <f t="shared" si="75"/>
        <v>Normal</v>
      </c>
      <c r="N716" s="2" t="str">
        <f t="shared" si="76"/>
        <v>No</v>
      </c>
    </row>
    <row r="717" spans="1:14" x14ac:dyDescent="0.25">
      <c r="A717" s="3">
        <v>44517</v>
      </c>
      <c r="B717" s="4">
        <v>2021</v>
      </c>
      <c r="C717" s="5">
        <v>2380</v>
      </c>
      <c r="D717" s="5">
        <v>2390</v>
      </c>
      <c r="E717" s="5">
        <v>2340</v>
      </c>
      <c r="F717" s="5">
        <v>2350</v>
      </c>
      <c r="G717" s="5">
        <v>1952.89</v>
      </c>
      <c r="H717" s="6">
        <v>50176400</v>
      </c>
      <c r="I717" s="22" t="str">
        <f t="shared" si="77"/>
        <v>-</v>
      </c>
      <c r="J717" s="7">
        <f t="shared" si="78"/>
        <v>-1.2605042016806722</v>
      </c>
      <c r="K717" s="7">
        <f t="shared" si="79"/>
        <v>5.2726101633751759</v>
      </c>
      <c r="L717" s="2" t="str">
        <f t="shared" si="74"/>
        <v>Normal</v>
      </c>
      <c r="M717" s="2" t="str">
        <f t="shared" si="75"/>
        <v>Normal</v>
      </c>
      <c r="N717" s="2" t="str">
        <f t="shared" si="76"/>
        <v>No</v>
      </c>
    </row>
    <row r="718" spans="1:14" x14ac:dyDescent="0.25">
      <c r="A718" s="3">
        <v>44518</v>
      </c>
      <c r="B718" s="4">
        <v>2021</v>
      </c>
      <c r="C718" s="5">
        <v>2350</v>
      </c>
      <c r="D718" s="5">
        <v>2370</v>
      </c>
      <c r="E718" s="5">
        <v>2320</v>
      </c>
      <c r="F718" s="5">
        <v>2330</v>
      </c>
      <c r="G718" s="5">
        <v>1936.27</v>
      </c>
      <c r="H718" s="6">
        <v>52679900</v>
      </c>
      <c r="I718" s="22" t="str">
        <f t="shared" si="77"/>
        <v>-</v>
      </c>
      <c r="J718" s="7">
        <f t="shared" si="78"/>
        <v>-0.85106382978723405</v>
      </c>
      <c r="K718" s="7">
        <f t="shared" si="79"/>
        <v>4.9893974059518023</v>
      </c>
      <c r="L718" s="2" t="str">
        <f t="shared" si="74"/>
        <v>Normal</v>
      </c>
      <c r="M718" s="2" t="str">
        <f t="shared" si="75"/>
        <v>Normal</v>
      </c>
      <c r="N718" s="2" t="str">
        <f t="shared" si="76"/>
        <v>No</v>
      </c>
    </row>
    <row r="719" spans="1:14" x14ac:dyDescent="0.25">
      <c r="A719" s="3">
        <v>44519</v>
      </c>
      <c r="B719" s="4">
        <v>2021</v>
      </c>
      <c r="C719" s="5">
        <v>2350</v>
      </c>
      <c r="D719" s="5">
        <v>2400</v>
      </c>
      <c r="E719" s="5">
        <v>2340</v>
      </c>
      <c r="F719" s="5">
        <v>2390</v>
      </c>
      <c r="G719" s="5">
        <v>1986.13</v>
      </c>
      <c r="H719" s="6">
        <v>93539700</v>
      </c>
      <c r="I719" s="22" t="str">
        <f t="shared" si="77"/>
        <v>+</v>
      </c>
      <c r="J719" s="7">
        <f t="shared" si="78"/>
        <v>2.5751072961373391</v>
      </c>
      <c r="K719" s="7">
        <f t="shared" si="79"/>
        <v>77.562409951423589</v>
      </c>
      <c r="L719" s="2" t="str">
        <f t="shared" si="74"/>
        <v>Normal</v>
      </c>
      <c r="M719" s="2" t="str">
        <f t="shared" si="75"/>
        <v>Normal</v>
      </c>
      <c r="N719" s="2" t="str">
        <f t="shared" si="76"/>
        <v>No</v>
      </c>
    </row>
    <row r="720" spans="1:14" x14ac:dyDescent="0.25">
      <c r="A720" s="3">
        <v>44522</v>
      </c>
      <c r="B720" s="4">
        <v>2021</v>
      </c>
      <c r="C720" s="5">
        <v>2400</v>
      </c>
      <c r="D720" s="5">
        <v>2400</v>
      </c>
      <c r="E720" s="5">
        <v>2350</v>
      </c>
      <c r="F720" s="5">
        <v>2370</v>
      </c>
      <c r="G720" s="5">
        <v>1969.51</v>
      </c>
      <c r="H720" s="6">
        <v>46485000</v>
      </c>
      <c r="I720" s="22" t="str">
        <f t="shared" si="77"/>
        <v>-</v>
      </c>
      <c r="J720" s="7">
        <f t="shared" si="78"/>
        <v>-0.83682008368200833</v>
      </c>
      <c r="K720" s="7">
        <f t="shared" si="79"/>
        <v>-50.304523106231905</v>
      </c>
      <c r="L720" s="2" t="str">
        <f t="shared" si="74"/>
        <v>Normal</v>
      </c>
      <c r="M720" s="2" t="str">
        <f t="shared" si="75"/>
        <v>Normal</v>
      </c>
      <c r="N720" s="2" t="str">
        <f t="shared" si="76"/>
        <v>No</v>
      </c>
    </row>
    <row r="721" spans="1:14" x14ac:dyDescent="0.25">
      <c r="A721" s="3">
        <v>44523</v>
      </c>
      <c r="B721" s="4">
        <v>2021</v>
      </c>
      <c r="C721" s="5">
        <v>2390</v>
      </c>
      <c r="D721" s="5">
        <v>2460</v>
      </c>
      <c r="E721" s="5">
        <v>2370</v>
      </c>
      <c r="F721" s="5">
        <v>2400</v>
      </c>
      <c r="G721" s="5">
        <v>1994.44</v>
      </c>
      <c r="H721" s="6">
        <v>159836400</v>
      </c>
      <c r="I721" s="22" t="str">
        <f t="shared" si="77"/>
        <v>+</v>
      </c>
      <c r="J721" s="7">
        <f t="shared" si="78"/>
        <v>1.2658227848101267</v>
      </c>
      <c r="K721" s="7">
        <f t="shared" si="79"/>
        <v>243.84511132623427</v>
      </c>
      <c r="L721" s="2" t="str">
        <f t="shared" si="74"/>
        <v>Normal</v>
      </c>
      <c r="M721" s="2" t="str">
        <f t="shared" si="75"/>
        <v>Sharp Volume Increase</v>
      </c>
      <c r="N721" s="2" t="str">
        <f t="shared" si="76"/>
        <v>No</v>
      </c>
    </row>
    <row r="722" spans="1:14" x14ac:dyDescent="0.25">
      <c r="A722" s="3">
        <v>44524</v>
      </c>
      <c r="B722" s="4">
        <v>2021</v>
      </c>
      <c r="C722" s="5">
        <v>2400</v>
      </c>
      <c r="D722" s="5">
        <v>2450</v>
      </c>
      <c r="E722" s="5">
        <v>2380</v>
      </c>
      <c r="F722" s="5">
        <v>2440</v>
      </c>
      <c r="G722" s="5">
        <v>2027.68</v>
      </c>
      <c r="H722" s="6">
        <v>73287900</v>
      </c>
      <c r="I722" s="22" t="str">
        <f t="shared" si="77"/>
        <v>+</v>
      </c>
      <c r="J722" s="7">
        <f t="shared" si="78"/>
        <v>1.6666666666666667</v>
      </c>
      <c r="K722" s="7">
        <f t="shared" si="79"/>
        <v>-54.148179013040831</v>
      </c>
      <c r="L722" s="2" t="str">
        <f t="shared" si="74"/>
        <v>Normal</v>
      </c>
      <c r="M722" s="2" t="str">
        <f t="shared" si="75"/>
        <v>Normal</v>
      </c>
      <c r="N722" s="2" t="str">
        <f t="shared" si="76"/>
        <v>No</v>
      </c>
    </row>
    <row r="723" spans="1:14" x14ac:dyDescent="0.25">
      <c r="A723" s="3">
        <v>44525</v>
      </c>
      <c r="B723" s="4">
        <v>2021</v>
      </c>
      <c r="C723" s="5">
        <v>2470</v>
      </c>
      <c r="D723" s="5">
        <v>2490</v>
      </c>
      <c r="E723" s="5">
        <v>2430</v>
      </c>
      <c r="F723" s="5">
        <v>2440</v>
      </c>
      <c r="G723" s="5">
        <v>2027.68</v>
      </c>
      <c r="H723" s="6">
        <v>109033700</v>
      </c>
      <c r="I723" s="22" t="str">
        <f t="shared" si="77"/>
        <v>0</v>
      </c>
      <c r="J723" s="7">
        <f t="shared" si="78"/>
        <v>0</v>
      </c>
      <c r="K723" s="7">
        <f t="shared" si="79"/>
        <v>48.774490741309272</v>
      </c>
      <c r="L723" s="2" t="str">
        <f t="shared" si="74"/>
        <v>Normal</v>
      </c>
      <c r="M723" s="2" t="str">
        <f t="shared" si="75"/>
        <v>Normal</v>
      </c>
      <c r="N723" s="2" t="str">
        <f t="shared" si="76"/>
        <v>No</v>
      </c>
    </row>
    <row r="724" spans="1:14" x14ac:dyDescent="0.25">
      <c r="A724" s="3">
        <v>44526</v>
      </c>
      <c r="B724" s="4">
        <v>2021</v>
      </c>
      <c r="C724" s="5">
        <v>2410</v>
      </c>
      <c r="D724" s="5">
        <v>2410</v>
      </c>
      <c r="E724" s="5">
        <v>2330</v>
      </c>
      <c r="F724" s="5">
        <v>2340</v>
      </c>
      <c r="G724" s="5">
        <v>1944.58</v>
      </c>
      <c r="H724" s="6">
        <v>162294600</v>
      </c>
      <c r="I724" s="22" t="str">
        <f t="shared" si="77"/>
        <v>-</v>
      </c>
      <c r="J724" s="7">
        <f t="shared" si="78"/>
        <v>-4.0983606557377046</v>
      </c>
      <c r="K724" s="7">
        <f t="shared" si="79"/>
        <v>48.848108428861906</v>
      </c>
      <c r="L724" s="2" t="str">
        <f t="shared" si="74"/>
        <v>Normal</v>
      </c>
      <c r="M724" s="2" t="str">
        <f t="shared" si="75"/>
        <v>Normal</v>
      </c>
      <c r="N724" s="2" t="str">
        <f t="shared" si="76"/>
        <v>No</v>
      </c>
    </row>
    <row r="725" spans="1:14" x14ac:dyDescent="0.25">
      <c r="A725" s="3">
        <v>44529</v>
      </c>
      <c r="B725" s="4">
        <v>2021</v>
      </c>
      <c r="C725" s="5">
        <v>2330</v>
      </c>
      <c r="D725" s="5">
        <v>2360</v>
      </c>
      <c r="E725" s="5">
        <v>2320</v>
      </c>
      <c r="F725" s="5">
        <v>2330</v>
      </c>
      <c r="G725" s="5">
        <v>1936.27</v>
      </c>
      <c r="H725" s="6">
        <v>82567700</v>
      </c>
      <c r="I725" s="22" t="str">
        <f t="shared" si="77"/>
        <v>-</v>
      </c>
      <c r="J725" s="7">
        <f t="shared" si="78"/>
        <v>-0.42735042735042739</v>
      </c>
      <c r="K725" s="7">
        <f t="shared" si="79"/>
        <v>-49.124801441329538</v>
      </c>
      <c r="L725" s="2" t="str">
        <f t="shared" si="74"/>
        <v>Normal</v>
      </c>
      <c r="M725" s="2" t="str">
        <f t="shared" si="75"/>
        <v>Normal</v>
      </c>
      <c r="N725" s="2" t="str">
        <f t="shared" si="76"/>
        <v>No</v>
      </c>
    </row>
    <row r="726" spans="1:14" x14ac:dyDescent="0.25">
      <c r="A726" s="3">
        <v>44530</v>
      </c>
      <c r="B726" s="4">
        <v>2021</v>
      </c>
      <c r="C726" s="5">
        <v>2340</v>
      </c>
      <c r="D726" s="5">
        <v>2370</v>
      </c>
      <c r="E726" s="5">
        <v>2300</v>
      </c>
      <c r="F726" s="5">
        <v>2300</v>
      </c>
      <c r="G726" s="5">
        <v>1911.34</v>
      </c>
      <c r="H726" s="6">
        <v>151186400</v>
      </c>
      <c r="I726" s="22" t="str">
        <f t="shared" si="77"/>
        <v>-</v>
      </c>
      <c r="J726" s="7">
        <f t="shared" si="78"/>
        <v>-1.2875536480686696</v>
      </c>
      <c r="K726" s="7">
        <f t="shared" si="79"/>
        <v>83.105984543592712</v>
      </c>
      <c r="L726" s="2" t="str">
        <f t="shared" si="74"/>
        <v>Normal</v>
      </c>
      <c r="M726" s="2" t="str">
        <f t="shared" si="75"/>
        <v>Normal</v>
      </c>
      <c r="N726" s="2" t="str">
        <f t="shared" si="76"/>
        <v>No</v>
      </c>
    </row>
    <row r="727" spans="1:14" x14ac:dyDescent="0.25">
      <c r="A727" s="3">
        <v>44531</v>
      </c>
      <c r="B727" s="4">
        <v>2021</v>
      </c>
      <c r="C727" s="5">
        <v>2300</v>
      </c>
      <c r="D727" s="5">
        <v>2320</v>
      </c>
      <c r="E727" s="5">
        <v>2250</v>
      </c>
      <c r="F727" s="5">
        <v>2270</v>
      </c>
      <c r="G727" s="5">
        <v>1886.41</v>
      </c>
      <c r="H727" s="6">
        <v>83612700</v>
      </c>
      <c r="I727" s="22" t="str">
        <f t="shared" si="77"/>
        <v>-</v>
      </c>
      <c r="J727" s="7">
        <f t="shared" si="78"/>
        <v>-1.3043478260869565</v>
      </c>
      <c r="K727" s="7">
        <f t="shared" si="79"/>
        <v>-44.695620770122183</v>
      </c>
      <c r="L727" s="2" t="str">
        <f t="shared" si="74"/>
        <v>Normal</v>
      </c>
      <c r="M727" s="2" t="str">
        <f t="shared" si="75"/>
        <v>Normal</v>
      </c>
      <c r="N727" s="2" t="str">
        <f t="shared" si="76"/>
        <v>No</v>
      </c>
    </row>
    <row r="728" spans="1:14" x14ac:dyDescent="0.25">
      <c r="A728" s="3">
        <v>44532</v>
      </c>
      <c r="B728" s="4">
        <v>2021</v>
      </c>
      <c r="C728" s="5">
        <v>2270</v>
      </c>
      <c r="D728" s="5">
        <v>2370</v>
      </c>
      <c r="E728" s="5">
        <v>2260</v>
      </c>
      <c r="F728" s="5">
        <v>2340</v>
      </c>
      <c r="G728" s="5">
        <v>1944.58</v>
      </c>
      <c r="H728" s="6">
        <v>89010800</v>
      </c>
      <c r="I728" s="22" t="str">
        <f t="shared" si="77"/>
        <v>+</v>
      </c>
      <c r="J728" s="7">
        <f t="shared" si="78"/>
        <v>3.0837004405286343</v>
      </c>
      <c r="K728" s="7">
        <f t="shared" si="79"/>
        <v>6.4560766486430889</v>
      </c>
      <c r="L728" s="2" t="str">
        <f t="shared" si="74"/>
        <v>Normal</v>
      </c>
      <c r="M728" s="2" t="str">
        <f t="shared" si="75"/>
        <v>Normal</v>
      </c>
      <c r="N728" s="2" t="str">
        <f t="shared" si="76"/>
        <v>No</v>
      </c>
    </row>
    <row r="729" spans="1:14" x14ac:dyDescent="0.25">
      <c r="A729" s="3">
        <v>44533</v>
      </c>
      <c r="B729" s="4">
        <v>2021</v>
      </c>
      <c r="C729" s="5">
        <v>2350</v>
      </c>
      <c r="D729" s="5">
        <v>2370</v>
      </c>
      <c r="E729" s="5">
        <v>2320</v>
      </c>
      <c r="F729" s="5">
        <v>2340</v>
      </c>
      <c r="G729" s="5">
        <v>1944.58</v>
      </c>
      <c r="H729" s="6">
        <v>38757200</v>
      </c>
      <c r="I729" s="22" t="str">
        <f t="shared" si="77"/>
        <v>0</v>
      </c>
      <c r="J729" s="7">
        <f t="shared" si="78"/>
        <v>0</v>
      </c>
      <c r="K729" s="7">
        <f t="shared" si="79"/>
        <v>-56.457868033991375</v>
      </c>
      <c r="L729" s="2" t="str">
        <f t="shared" si="74"/>
        <v>Normal</v>
      </c>
      <c r="M729" s="2" t="str">
        <f t="shared" si="75"/>
        <v>Normal</v>
      </c>
      <c r="N729" s="2" t="str">
        <f t="shared" si="76"/>
        <v>No</v>
      </c>
    </row>
    <row r="730" spans="1:14" x14ac:dyDescent="0.25">
      <c r="A730" s="3">
        <v>44536</v>
      </c>
      <c r="B730" s="4">
        <v>2021</v>
      </c>
      <c r="C730" s="5">
        <v>2340</v>
      </c>
      <c r="D730" s="5">
        <v>2360</v>
      </c>
      <c r="E730" s="5">
        <v>2310</v>
      </c>
      <c r="F730" s="5">
        <v>2320</v>
      </c>
      <c r="G730" s="5">
        <v>1927.96</v>
      </c>
      <c r="H730" s="6">
        <v>31951700</v>
      </c>
      <c r="I730" s="22" t="str">
        <f t="shared" si="77"/>
        <v>-</v>
      </c>
      <c r="J730" s="7">
        <f t="shared" si="78"/>
        <v>-0.85470085470085477</v>
      </c>
      <c r="K730" s="7">
        <f t="shared" si="79"/>
        <v>-17.559318010588999</v>
      </c>
      <c r="L730" s="2" t="str">
        <f t="shared" si="74"/>
        <v>Normal</v>
      </c>
      <c r="M730" s="2" t="str">
        <f t="shared" si="75"/>
        <v>Normal</v>
      </c>
      <c r="N730" s="2" t="str">
        <f t="shared" si="76"/>
        <v>No</v>
      </c>
    </row>
    <row r="731" spans="1:14" x14ac:dyDescent="0.25">
      <c r="A731" s="3">
        <v>44537</v>
      </c>
      <c r="B731" s="4">
        <v>2021</v>
      </c>
      <c r="C731" s="5">
        <v>2340</v>
      </c>
      <c r="D731" s="5">
        <v>2350</v>
      </c>
      <c r="E731" s="5">
        <v>2330</v>
      </c>
      <c r="F731" s="5">
        <v>2340</v>
      </c>
      <c r="G731" s="5">
        <v>1944.58</v>
      </c>
      <c r="H731" s="6">
        <v>21542900</v>
      </c>
      <c r="I731" s="22" t="str">
        <f t="shared" si="77"/>
        <v>+</v>
      </c>
      <c r="J731" s="7">
        <f t="shared" si="78"/>
        <v>0.86206896551724133</v>
      </c>
      <c r="K731" s="7">
        <f t="shared" si="79"/>
        <v>-32.576670411902967</v>
      </c>
      <c r="L731" s="2" t="str">
        <f t="shared" si="74"/>
        <v>Normal</v>
      </c>
      <c r="M731" s="2" t="str">
        <f t="shared" si="75"/>
        <v>Normal</v>
      </c>
      <c r="N731" s="2" t="str">
        <f t="shared" si="76"/>
        <v>No</v>
      </c>
    </row>
    <row r="732" spans="1:14" x14ac:dyDescent="0.25">
      <c r="A732" s="3">
        <v>44538</v>
      </c>
      <c r="B732" s="4">
        <v>2021</v>
      </c>
      <c r="C732" s="5">
        <v>2360</v>
      </c>
      <c r="D732" s="5">
        <v>2360</v>
      </c>
      <c r="E732" s="5">
        <v>2320</v>
      </c>
      <c r="F732" s="5">
        <v>2330</v>
      </c>
      <c r="G732" s="5">
        <v>1936.27</v>
      </c>
      <c r="H732" s="6">
        <v>24204300</v>
      </c>
      <c r="I732" s="22" t="str">
        <f t="shared" si="77"/>
        <v>-</v>
      </c>
      <c r="J732" s="7">
        <f t="shared" si="78"/>
        <v>-0.42735042735042739</v>
      </c>
      <c r="K732" s="7">
        <f t="shared" si="79"/>
        <v>12.353954203008879</v>
      </c>
      <c r="L732" s="2" t="str">
        <f t="shared" si="74"/>
        <v>Normal</v>
      </c>
      <c r="M732" s="2" t="str">
        <f t="shared" si="75"/>
        <v>Normal</v>
      </c>
      <c r="N732" s="2" t="str">
        <f t="shared" si="76"/>
        <v>No</v>
      </c>
    </row>
    <row r="733" spans="1:14" x14ac:dyDescent="0.25">
      <c r="A733" s="3">
        <v>44539</v>
      </c>
      <c r="B733" s="4">
        <v>2021</v>
      </c>
      <c r="C733" s="5">
        <v>2330</v>
      </c>
      <c r="D733" s="5">
        <v>2340</v>
      </c>
      <c r="E733" s="5">
        <v>2320</v>
      </c>
      <c r="F733" s="5">
        <v>2330</v>
      </c>
      <c r="G733" s="5">
        <v>1936.27</v>
      </c>
      <c r="H733" s="6">
        <v>20800100</v>
      </c>
      <c r="I733" s="22" t="str">
        <f t="shared" si="77"/>
        <v>0</v>
      </c>
      <c r="J733" s="7">
        <f t="shared" si="78"/>
        <v>0</v>
      </c>
      <c r="K733" s="7">
        <f t="shared" si="79"/>
        <v>-14.064443094821993</v>
      </c>
      <c r="L733" s="2" t="str">
        <f t="shared" si="74"/>
        <v>Normal</v>
      </c>
      <c r="M733" s="2" t="str">
        <f t="shared" si="75"/>
        <v>Normal</v>
      </c>
      <c r="N733" s="2" t="str">
        <f t="shared" si="76"/>
        <v>No</v>
      </c>
    </row>
    <row r="734" spans="1:14" x14ac:dyDescent="0.25">
      <c r="A734" s="3">
        <v>44540</v>
      </c>
      <c r="B734" s="4">
        <v>2021</v>
      </c>
      <c r="C734" s="5">
        <v>2330</v>
      </c>
      <c r="D734" s="5">
        <v>2330</v>
      </c>
      <c r="E734" s="5">
        <v>2310</v>
      </c>
      <c r="F734" s="5">
        <v>2320</v>
      </c>
      <c r="G734" s="5">
        <v>1927.96</v>
      </c>
      <c r="H734" s="6">
        <v>13962600</v>
      </c>
      <c r="I734" s="22" t="str">
        <f t="shared" si="77"/>
        <v>-</v>
      </c>
      <c r="J734" s="7">
        <f t="shared" si="78"/>
        <v>-0.42918454935622319</v>
      </c>
      <c r="K734" s="7">
        <f t="shared" si="79"/>
        <v>-32.872438113278299</v>
      </c>
      <c r="L734" s="2" t="str">
        <f t="shared" si="74"/>
        <v>Normal</v>
      </c>
      <c r="M734" s="2" t="str">
        <f t="shared" si="75"/>
        <v>Normal</v>
      </c>
      <c r="N734" s="2" t="str">
        <f t="shared" si="76"/>
        <v>No</v>
      </c>
    </row>
    <row r="735" spans="1:14" x14ac:dyDescent="0.25">
      <c r="A735" s="3">
        <v>44543</v>
      </c>
      <c r="B735" s="4">
        <v>2021</v>
      </c>
      <c r="C735" s="5">
        <v>2330</v>
      </c>
      <c r="D735" s="5">
        <v>2350</v>
      </c>
      <c r="E735" s="5">
        <v>2320</v>
      </c>
      <c r="F735" s="5">
        <v>2320</v>
      </c>
      <c r="G735" s="5">
        <v>1927.96</v>
      </c>
      <c r="H735" s="6">
        <v>15212500</v>
      </c>
      <c r="I735" s="22" t="str">
        <f t="shared" si="77"/>
        <v>0</v>
      </c>
      <c r="J735" s="7">
        <f t="shared" si="78"/>
        <v>0</v>
      </c>
      <c r="K735" s="7">
        <f t="shared" si="79"/>
        <v>8.9517711600991223</v>
      </c>
      <c r="L735" s="2" t="str">
        <f t="shared" si="74"/>
        <v>Normal</v>
      </c>
      <c r="M735" s="2" t="str">
        <f t="shared" si="75"/>
        <v>Normal</v>
      </c>
      <c r="N735" s="2" t="str">
        <f t="shared" si="76"/>
        <v>No</v>
      </c>
    </row>
    <row r="736" spans="1:14" x14ac:dyDescent="0.25">
      <c r="A736" s="3">
        <v>44544</v>
      </c>
      <c r="B736" s="4">
        <v>2021</v>
      </c>
      <c r="C736" s="5">
        <v>2320</v>
      </c>
      <c r="D736" s="5">
        <v>2320</v>
      </c>
      <c r="E736" s="5">
        <v>2280</v>
      </c>
      <c r="F736" s="5">
        <v>2290</v>
      </c>
      <c r="G736" s="5">
        <v>1903.03</v>
      </c>
      <c r="H736" s="6">
        <v>28618000</v>
      </c>
      <c r="I736" s="22" t="str">
        <f t="shared" si="77"/>
        <v>-</v>
      </c>
      <c r="J736" s="7">
        <f t="shared" si="78"/>
        <v>-1.2931034482758621</v>
      </c>
      <c r="K736" s="7">
        <f t="shared" si="79"/>
        <v>88.121610517666397</v>
      </c>
      <c r="L736" s="2" t="str">
        <f t="shared" si="74"/>
        <v>Normal</v>
      </c>
      <c r="M736" s="2" t="str">
        <f t="shared" si="75"/>
        <v>Normal</v>
      </c>
      <c r="N736" s="2" t="str">
        <f t="shared" si="76"/>
        <v>No</v>
      </c>
    </row>
    <row r="737" spans="1:14" x14ac:dyDescent="0.25">
      <c r="A737" s="3">
        <v>44545</v>
      </c>
      <c r="B737" s="4">
        <v>2021</v>
      </c>
      <c r="C737" s="5">
        <v>2290</v>
      </c>
      <c r="D737" s="5">
        <v>2300</v>
      </c>
      <c r="E737" s="5">
        <v>2270</v>
      </c>
      <c r="F737" s="5">
        <v>2280</v>
      </c>
      <c r="G737" s="5">
        <v>1894.72</v>
      </c>
      <c r="H737" s="6">
        <v>34080000</v>
      </c>
      <c r="I737" s="22" t="str">
        <f t="shared" si="77"/>
        <v>-</v>
      </c>
      <c r="J737" s="7">
        <f t="shared" si="78"/>
        <v>-0.43668122270742354</v>
      </c>
      <c r="K737" s="7">
        <f t="shared" si="79"/>
        <v>19.085889999301138</v>
      </c>
      <c r="L737" s="2" t="str">
        <f t="shared" si="74"/>
        <v>Normal</v>
      </c>
      <c r="M737" s="2" t="str">
        <f t="shared" si="75"/>
        <v>Normal</v>
      </c>
      <c r="N737" s="2" t="str">
        <f t="shared" si="76"/>
        <v>No</v>
      </c>
    </row>
    <row r="738" spans="1:14" x14ac:dyDescent="0.25">
      <c r="A738" s="3">
        <v>44546</v>
      </c>
      <c r="B738" s="4">
        <v>2021</v>
      </c>
      <c r="C738" s="5">
        <v>2290</v>
      </c>
      <c r="D738" s="5">
        <v>2300</v>
      </c>
      <c r="E738" s="5">
        <v>2260</v>
      </c>
      <c r="F738" s="5">
        <v>2290</v>
      </c>
      <c r="G738" s="5">
        <v>1903.03</v>
      </c>
      <c r="H738" s="6">
        <v>35249800</v>
      </c>
      <c r="I738" s="22" t="str">
        <f t="shared" si="77"/>
        <v>+</v>
      </c>
      <c r="J738" s="7">
        <f t="shared" si="78"/>
        <v>0.43859649122807015</v>
      </c>
      <c r="K738" s="7">
        <f t="shared" si="79"/>
        <v>3.432511737089202</v>
      </c>
      <c r="L738" s="2" t="str">
        <f t="shared" si="74"/>
        <v>Normal</v>
      </c>
      <c r="M738" s="2" t="str">
        <f t="shared" si="75"/>
        <v>Normal</v>
      </c>
      <c r="N738" s="2" t="str">
        <f t="shared" si="76"/>
        <v>No</v>
      </c>
    </row>
    <row r="739" spans="1:14" x14ac:dyDescent="0.25">
      <c r="A739" s="3">
        <v>44547</v>
      </c>
      <c r="B739" s="4">
        <v>2021</v>
      </c>
      <c r="C739" s="5">
        <v>2310</v>
      </c>
      <c r="D739" s="5">
        <v>2310</v>
      </c>
      <c r="E739" s="5">
        <v>2250</v>
      </c>
      <c r="F739" s="5">
        <v>2250</v>
      </c>
      <c r="G739" s="5">
        <v>1869.79</v>
      </c>
      <c r="H739" s="6">
        <v>50857800</v>
      </c>
      <c r="I739" s="22" t="str">
        <f t="shared" si="77"/>
        <v>-</v>
      </c>
      <c r="J739" s="7">
        <f t="shared" si="78"/>
        <v>-1.7467248908296942</v>
      </c>
      <c r="K739" s="7">
        <f t="shared" si="79"/>
        <v>44.27826540859806</v>
      </c>
      <c r="L739" s="2" t="str">
        <f t="shared" si="74"/>
        <v>Normal</v>
      </c>
      <c r="M739" s="2" t="str">
        <f t="shared" si="75"/>
        <v>Normal</v>
      </c>
      <c r="N739" s="2" t="str">
        <f t="shared" si="76"/>
        <v>No</v>
      </c>
    </row>
    <row r="740" spans="1:14" x14ac:dyDescent="0.25">
      <c r="A740" s="3">
        <v>44550</v>
      </c>
      <c r="B740" s="4">
        <v>2021</v>
      </c>
      <c r="C740" s="5">
        <v>2250</v>
      </c>
      <c r="D740" s="5">
        <v>2260</v>
      </c>
      <c r="E740" s="5">
        <v>2220</v>
      </c>
      <c r="F740" s="5">
        <v>2220</v>
      </c>
      <c r="G740" s="5">
        <v>1844.86</v>
      </c>
      <c r="H740" s="6">
        <v>53770200</v>
      </c>
      <c r="I740" s="22" t="str">
        <f t="shared" si="77"/>
        <v>-</v>
      </c>
      <c r="J740" s="7">
        <f t="shared" si="78"/>
        <v>-1.3333333333333335</v>
      </c>
      <c r="K740" s="7">
        <f t="shared" si="79"/>
        <v>5.7265552186685227</v>
      </c>
      <c r="L740" s="2" t="str">
        <f t="shared" si="74"/>
        <v>Normal</v>
      </c>
      <c r="M740" s="2" t="str">
        <f t="shared" si="75"/>
        <v>Normal</v>
      </c>
      <c r="N740" s="2" t="str">
        <f t="shared" si="76"/>
        <v>No</v>
      </c>
    </row>
    <row r="741" spans="1:14" x14ac:dyDescent="0.25">
      <c r="A741" s="3">
        <v>44551</v>
      </c>
      <c r="B741" s="4">
        <v>2021</v>
      </c>
      <c r="C741" s="5">
        <v>2220</v>
      </c>
      <c r="D741" s="5">
        <v>2280</v>
      </c>
      <c r="E741" s="5">
        <v>2220</v>
      </c>
      <c r="F741" s="5">
        <v>2260</v>
      </c>
      <c r="G741" s="5">
        <v>1878.1</v>
      </c>
      <c r="H741" s="6">
        <v>37964200</v>
      </c>
      <c r="I741" s="22" t="str">
        <f t="shared" si="77"/>
        <v>+</v>
      </c>
      <c r="J741" s="7">
        <f t="shared" si="78"/>
        <v>1.8018018018018018</v>
      </c>
      <c r="K741" s="7">
        <f t="shared" si="79"/>
        <v>-29.395464402215353</v>
      </c>
      <c r="L741" s="2" t="str">
        <f t="shared" si="74"/>
        <v>Normal</v>
      </c>
      <c r="M741" s="2" t="str">
        <f t="shared" si="75"/>
        <v>Normal</v>
      </c>
      <c r="N741" s="2" t="str">
        <f t="shared" si="76"/>
        <v>No</v>
      </c>
    </row>
    <row r="742" spans="1:14" x14ac:dyDescent="0.25">
      <c r="A742" s="3">
        <v>44552</v>
      </c>
      <c r="B742" s="4">
        <v>2021</v>
      </c>
      <c r="C742" s="5">
        <v>2270</v>
      </c>
      <c r="D742" s="5">
        <v>2300</v>
      </c>
      <c r="E742" s="5">
        <v>2250</v>
      </c>
      <c r="F742" s="5">
        <v>2250</v>
      </c>
      <c r="G742" s="5">
        <v>1869.79</v>
      </c>
      <c r="H742" s="6">
        <v>28786500</v>
      </c>
      <c r="I742" s="22" t="str">
        <f t="shared" si="77"/>
        <v>-</v>
      </c>
      <c r="J742" s="7">
        <f t="shared" si="78"/>
        <v>-0.44247787610619471</v>
      </c>
      <c r="K742" s="7">
        <f t="shared" si="79"/>
        <v>-24.174617139304925</v>
      </c>
      <c r="L742" s="2" t="str">
        <f t="shared" si="74"/>
        <v>Normal</v>
      </c>
      <c r="M742" s="2" t="str">
        <f t="shared" si="75"/>
        <v>Normal</v>
      </c>
      <c r="N742" s="2" t="str">
        <f t="shared" si="76"/>
        <v>No</v>
      </c>
    </row>
    <row r="743" spans="1:14" x14ac:dyDescent="0.25">
      <c r="A743" s="3">
        <v>44553</v>
      </c>
      <c r="B743" s="4">
        <v>2021</v>
      </c>
      <c r="C743" s="5">
        <v>2260</v>
      </c>
      <c r="D743" s="5">
        <v>2270</v>
      </c>
      <c r="E743" s="5">
        <v>2240</v>
      </c>
      <c r="F743" s="5">
        <v>2240</v>
      </c>
      <c r="G743" s="5">
        <v>1861.48</v>
      </c>
      <c r="H743" s="6">
        <v>19005000</v>
      </c>
      <c r="I743" s="22" t="str">
        <f t="shared" si="77"/>
        <v>-</v>
      </c>
      <c r="J743" s="7">
        <f t="shared" si="78"/>
        <v>-0.44444444444444442</v>
      </c>
      <c r="K743" s="7">
        <f t="shared" si="79"/>
        <v>-33.979469543014957</v>
      </c>
      <c r="L743" s="2" t="str">
        <f t="shared" si="74"/>
        <v>Normal</v>
      </c>
      <c r="M743" s="2" t="str">
        <f t="shared" si="75"/>
        <v>Normal</v>
      </c>
      <c r="N743" s="2" t="str">
        <f t="shared" si="76"/>
        <v>No</v>
      </c>
    </row>
    <row r="744" spans="1:14" x14ac:dyDescent="0.25">
      <c r="A744" s="3">
        <v>44554</v>
      </c>
      <c r="B744" s="4">
        <v>2021</v>
      </c>
      <c r="C744" s="5">
        <v>2260</v>
      </c>
      <c r="D744" s="5">
        <v>2300</v>
      </c>
      <c r="E744" s="5">
        <v>2250</v>
      </c>
      <c r="F744" s="5">
        <v>2280</v>
      </c>
      <c r="G744" s="5">
        <v>1894.72</v>
      </c>
      <c r="H744" s="6">
        <v>30712000</v>
      </c>
      <c r="I744" s="22" t="str">
        <f t="shared" si="77"/>
        <v>+</v>
      </c>
      <c r="J744" s="7">
        <f t="shared" si="78"/>
        <v>1.7857142857142856</v>
      </c>
      <c r="K744" s="7">
        <f t="shared" si="79"/>
        <v>61.599579058142595</v>
      </c>
      <c r="L744" s="2" t="str">
        <f t="shared" si="74"/>
        <v>Normal</v>
      </c>
      <c r="M744" s="2" t="str">
        <f t="shared" si="75"/>
        <v>Normal</v>
      </c>
      <c r="N744" s="2" t="str">
        <f t="shared" si="76"/>
        <v>No</v>
      </c>
    </row>
    <row r="745" spans="1:14" x14ac:dyDescent="0.25">
      <c r="A745" s="3">
        <v>44557</v>
      </c>
      <c r="B745" s="4">
        <v>2021</v>
      </c>
      <c r="C745" s="5">
        <v>2300</v>
      </c>
      <c r="D745" s="5">
        <v>2300</v>
      </c>
      <c r="E745" s="5">
        <v>2280</v>
      </c>
      <c r="F745" s="5">
        <v>2300</v>
      </c>
      <c r="G745" s="5">
        <v>1911.34</v>
      </c>
      <c r="H745" s="6">
        <v>18193100</v>
      </c>
      <c r="I745" s="22" t="str">
        <f t="shared" si="77"/>
        <v>+</v>
      </c>
      <c r="J745" s="7">
        <f t="shared" si="78"/>
        <v>0.8771929824561403</v>
      </c>
      <c r="K745" s="7">
        <f t="shared" si="79"/>
        <v>-40.762242771555094</v>
      </c>
      <c r="L745" s="2" t="str">
        <f t="shared" si="74"/>
        <v>Normal</v>
      </c>
      <c r="M745" s="2" t="str">
        <f t="shared" si="75"/>
        <v>Normal</v>
      </c>
      <c r="N745" s="2" t="str">
        <f t="shared" si="76"/>
        <v>No</v>
      </c>
    </row>
    <row r="746" spans="1:14" x14ac:dyDescent="0.25">
      <c r="A746" s="3">
        <v>44558</v>
      </c>
      <c r="B746" s="4">
        <v>2021</v>
      </c>
      <c r="C746" s="5">
        <v>2310</v>
      </c>
      <c r="D746" s="5">
        <v>2320</v>
      </c>
      <c r="E746" s="5">
        <v>2260</v>
      </c>
      <c r="F746" s="5">
        <v>2260</v>
      </c>
      <c r="G746" s="5">
        <v>1878.1</v>
      </c>
      <c r="H746" s="6">
        <v>29787500</v>
      </c>
      <c r="I746" s="22" t="str">
        <f t="shared" si="77"/>
        <v>-</v>
      </c>
      <c r="J746" s="7">
        <f t="shared" si="78"/>
        <v>-1.7391304347826086</v>
      </c>
      <c r="K746" s="7">
        <f t="shared" si="79"/>
        <v>63.729655748607996</v>
      </c>
      <c r="L746" s="2" t="str">
        <f t="shared" si="74"/>
        <v>Normal</v>
      </c>
      <c r="M746" s="2" t="str">
        <f t="shared" si="75"/>
        <v>Normal</v>
      </c>
      <c r="N746" s="2" t="str">
        <f t="shared" si="76"/>
        <v>No</v>
      </c>
    </row>
    <row r="747" spans="1:14" x14ac:dyDescent="0.25">
      <c r="A747" s="3">
        <v>44559</v>
      </c>
      <c r="B747" s="4">
        <v>2021</v>
      </c>
      <c r="C747" s="5">
        <v>2270</v>
      </c>
      <c r="D747" s="5">
        <v>2290</v>
      </c>
      <c r="E747" s="5">
        <v>2260</v>
      </c>
      <c r="F747" s="5">
        <v>2270</v>
      </c>
      <c r="G747" s="5">
        <v>1886.41</v>
      </c>
      <c r="H747" s="6">
        <v>14304600</v>
      </c>
      <c r="I747" s="22" t="str">
        <f t="shared" si="77"/>
        <v>+</v>
      </c>
      <c r="J747" s="7">
        <f t="shared" si="78"/>
        <v>0.44247787610619471</v>
      </c>
      <c r="K747" s="7">
        <f t="shared" si="79"/>
        <v>-51.97784305497273</v>
      </c>
      <c r="L747" s="2" t="str">
        <f t="shared" si="74"/>
        <v>Normal</v>
      </c>
      <c r="M747" s="2" t="str">
        <f t="shared" si="75"/>
        <v>Normal</v>
      </c>
      <c r="N747" s="2" t="str">
        <f t="shared" si="76"/>
        <v>No</v>
      </c>
    </row>
    <row r="748" spans="1:14" x14ac:dyDescent="0.25">
      <c r="A748" s="3">
        <v>44560</v>
      </c>
      <c r="B748" s="4">
        <v>2021</v>
      </c>
      <c r="C748" s="5">
        <v>2280</v>
      </c>
      <c r="D748" s="5">
        <v>2300</v>
      </c>
      <c r="E748" s="5">
        <v>2250</v>
      </c>
      <c r="F748" s="5">
        <v>2250</v>
      </c>
      <c r="G748" s="5">
        <v>1869.79</v>
      </c>
      <c r="H748" s="6">
        <v>27319000</v>
      </c>
      <c r="I748" s="22" t="str">
        <f t="shared" si="77"/>
        <v>-</v>
      </c>
      <c r="J748" s="7">
        <f t="shared" si="78"/>
        <v>-0.88105726872246704</v>
      </c>
      <c r="K748" s="7">
        <f t="shared" si="79"/>
        <v>90.980523747605673</v>
      </c>
      <c r="L748" s="2" t="str">
        <f t="shared" si="74"/>
        <v>Normal</v>
      </c>
      <c r="M748" s="2" t="str">
        <f t="shared" si="75"/>
        <v>Normal</v>
      </c>
      <c r="N748" s="2" t="str">
        <f t="shared" si="76"/>
        <v>No</v>
      </c>
    </row>
    <row r="749" spans="1:14" x14ac:dyDescent="0.25">
      <c r="A749" s="3">
        <v>44564</v>
      </c>
      <c r="B749" s="4">
        <v>2022</v>
      </c>
      <c r="C749" s="5">
        <v>2260</v>
      </c>
      <c r="D749" s="5">
        <v>2350</v>
      </c>
      <c r="E749" s="5">
        <v>2260</v>
      </c>
      <c r="F749" s="5">
        <v>2340</v>
      </c>
      <c r="G749" s="5">
        <v>1944.58</v>
      </c>
      <c r="H749" s="6">
        <v>74416700</v>
      </c>
      <c r="I749" s="22" t="str">
        <f t="shared" si="77"/>
        <v>+</v>
      </c>
      <c r="J749" s="7">
        <f t="shared" si="78"/>
        <v>4</v>
      </c>
      <c r="K749" s="7">
        <f t="shared" si="79"/>
        <v>172.39906292324022</v>
      </c>
      <c r="L749" s="2" t="str">
        <f t="shared" si="74"/>
        <v>Normal</v>
      </c>
      <c r="M749" s="2" t="str">
        <f t="shared" si="75"/>
        <v>Sharp Volume Increase</v>
      </c>
      <c r="N749" s="2" t="str">
        <f t="shared" si="76"/>
        <v>No</v>
      </c>
    </row>
    <row r="750" spans="1:14" x14ac:dyDescent="0.25">
      <c r="A750" s="3">
        <v>44565</v>
      </c>
      <c r="B750" s="4">
        <v>2022</v>
      </c>
      <c r="C750" s="5">
        <v>2340</v>
      </c>
      <c r="D750" s="5">
        <v>2350</v>
      </c>
      <c r="E750" s="5">
        <v>2290</v>
      </c>
      <c r="F750" s="5">
        <v>2300</v>
      </c>
      <c r="G750" s="5">
        <v>1911.34</v>
      </c>
      <c r="H750" s="6">
        <v>32222200</v>
      </c>
      <c r="I750" s="22" t="str">
        <f t="shared" si="77"/>
        <v>-</v>
      </c>
      <c r="J750" s="7">
        <f t="shared" si="78"/>
        <v>-1.7094017094017095</v>
      </c>
      <c r="K750" s="7">
        <f t="shared" si="79"/>
        <v>-56.700310548573107</v>
      </c>
      <c r="L750" s="2" t="str">
        <f t="shared" si="74"/>
        <v>Normal</v>
      </c>
      <c r="M750" s="2" t="str">
        <f t="shared" si="75"/>
        <v>Normal</v>
      </c>
      <c r="N750" s="2" t="str">
        <f t="shared" si="76"/>
        <v>No</v>
      </c>
    </row>
    <row r="751" spans="1:14" x14ac:dyDescent="0.25">
      <c r="A751" s="3">
        <v>44566</v>
      </c>
      <c r="B751" s="4">
        <v>2022</v>
      </c>
      <c r="C751" s="5">
        <v>2310</v>
      </c>
      <c r="D751" s="5">
        <v>2340</v>
      </c>
      <c r="E751" s="5">
        <v>2250</v>
      </c>
      <c r="F751" s="5">
        <v>2270</v>
      </c>
      <c r="G751" s="5">
        <v>1886.41</v>
      </c>
      <c r="H751" s="6">
        <v>51315000</v>
      </c>
      <c r="I751" s="22" t="str">
        <f t="shared" si="77"/>
        <v>-</v>
      </c>
      <c r="J751" s="7">
        <f t="shared" si="78"/>
        <v>-1.3043478260869565</v>
      </c>
      <c r="K751" s="7">
        <f t="shared" si="79"/>
        <v>59.253558105902137</v>
      </c>
      <c r="L751" s="2" t="str">
        <f t="shared" si="74"/>
        <v>Normal</v>
      </c>
      <c r="M751" s="2" t="str">
        <f t="shared" si="75"/>
        <v>Normal</v>
      </c>
      <c r="N751" s="2" t="str">
        <f t="shared" si="76"/>
        <v>No</v>
      </c>
    </row>
    <row r="752" spans="1:14" x14ac:dyDescent="0.25">
      <c r="A752" s="3">
        <v>44567</v>
      </c>
      <c r="B752" s="4">
        <v>2022</v>
      </c>
      <c r="C752" s="5">
        <v>2260</v>
      </c>
      <c r="D752" s="5">
        <v>2270</v>
      </c>
      <c r="E752" s="5">
        <v>2230</v>
      </c>
      <c r="F752" s="5">
        <v>2230</v>
      </c>
      <c r="G752" s="5">
        <v>1853.17</v>
      </c>
      <c r="H752" s="6">
        <v>45325800</v>
      </c>
      <c r="I752" s="22" t="str">
        <f t="shared" si="77"/>
        <v>-</v>
      </c>
      <c r="J752" s="7">
        <f t="shared" si="78"/>
        <v>-1.7621145374449341</v>
      </c>
      <c r="K752" s="7">
        <f t="shared" si="79"/>
        <v>-11.671441099093832</v>
      </c>
      <c r="L752" s="2" t="str">
        <f t="shared" si="74"/>
        <v>Normal</v>
      </c>
      <c r="M752" s="2" t="str">
        <f t="shared" si="75"/>
        <v>Normal</v>
      </c>
      <c r="N752" s="2" t="str">
        <f t="shared" si="76"/>
        <v>No</v>
      </c>
    </row>
    <row r="753" spans="1:14" x14ac:dyDescent="0.25">
      <c r="A753" s="3">
        <v>44568</v>
      </c>
      <c r="B753" s="4">
        <v>2022</v>
      </c>
      <c r="C753" s="5">
        <v>2250</v>
      </c>
      <c r="D753" s="5">
        <v>2260</v>
      </c>
      <c r="E753" s="5">
        <v>2230</v>
      </c>
      <c r="F753" s="5">
        <v>2230</v>
      </c>
      <c r="G753" s="5">
        <v>1853.17</v>
      </c>
      <c r="H753" s="6">
        <v>26661900</v>
      </c>
      <c r="I753" s="22" t="str">
        <f t="shared" si="77"/>
        <v>0</v>
      </c>
      <c r="J753" s="7">
        <f t="shared" si="78"/>
        <v>0</v>
      </c>
      <c r="K753" s="7">
        <f t="shared" si="79"/>
        <v>-41.17721033054022</v>
      </c>
      <c r="L753" s="2" t="str">
        <f t="shared" si="74"/>
        <v>Normal</v>
      </c>
      <c r="M753" s="2" t="str">
        <f t="shared" si="75"/>
        <v>Normal</v>
      </c>
      <c r="N753" s="2" t="str">
        <f t="shared" si="76"/>
        <v>No</v>
      </c>
    </row>
    <row r="754" spans="1:14" x14ac:dyDescent="0.25">
      <c r="A754" s="3">
        <v>44571</v>
      </c>
      <c r="B754" s="4">
        <v>2022</v>
      </c>
      <c r="C754" s="5">
        <v>2250</v>
      </c>
      <c r="D754" s="5">
        <v>2250</v>
      </c>
      <c r="E754" s="5">
        <v>2220</v>
      </c>
      <c r="F754" s="5">
        <v>2220</v>
      </c>
      <c r="G754" s="5">
        <v>1844.86</v>
      </c>
      <c r="H754" s="6">
        <v>35421200</v>
      </c>
      <c r="I754" s="22" t="str">
        <f t="shared" si="77"/>
        <v>-</v>
      </c>
      <c r="J754" s="7">
        <f t="shared" si="78"/>
        <v>-0.44843049327354262</v>
      </c>
      <c r="K754" s="7">
        <f t="shared" si="79"/>
        <v>32.853247517993836</v>
      </c>
      <c r="L754" s="2" t="str">
        <f t="shared" si="74"/>
        <v>Normal</v>
      </c>
      <c r="M754" s="2" t="str">
        <f t="shared" si="75"/>
        <v>Normal</v>
      </c>
      <c r="N754" s="2" t="str">
        <f t="shared" si="76"/>
        <v>No</v>
      </c>
    </row>
    <row r="755" spans="1:14" x14ac:dyDescent="0.25">
      <c r="A755" s="3">
        <v>44572</v>
      </c>
      <c r="B755" s="4">
        <v>2022</v>
      </c>
      <c r="C755" s="5">
        <v>2220</v>
      </c>
      <c r="D755" s="5">
        <v>2230</v>
      </c>
      <c r="E755" s="5">
        <v>2080</v>
      </c>
      <c r="F755" s="5">
        <v>2080</v>
      </c>
      <c r="G755" s="5">
        <v>1728.51</v>
      </c>
      <c r="H755" s="6">
        <v>170397900</v>
      </c>
      <c r="I755" s="22" t="str">
        <f t="shared" si="77"/>
        <v>-</v>
      </c>
      <c r="J755" s="7">
        <f t="shared" si="78"/>
        <v>-6.3063063063063058</v>
      </c>
      <c r="K755" s="7">
        <f t="shared" si="79"/>
        <v>381.06190642891829</v>
      </c>
      <c r="L755" s="2" t="str">
        <f t="shared" si="74"/>
        <v>Sharp Price Decrease</v>
      </c>
      <c r="M755" s="2" t="str">
        <f t="shared" si="75"/>
        <v>Sharp Volume Increase</v>
      </c>
      <c r="N755" s="2" t="str">
        <f t="shared" si="76"/>
        <v>Yes</v>
      </c>
    </row>
    <row r="756" spans="1:14" x14ac:dyDescent="0.25">
      <c r="A756" s="3">
        <v>44573</v>
      </c>
      <c r="B756" s="4">
        <v>2022</v>
      </c>
      <c r="C756" s="5">
        <v>2120</v>
      </c>
      <c r="D756" s="5">
        <v>2150</v>
      </c>
      <c r="E756" s="5">
        <v>1935</v>
      </c>
      <c r="F756" s="5">
        <v>1935</v>
      </c>
      <c r="G756" s="5">
        <v>1608.02</v>
      </c>
      <c r="H756" s="6">
        <v>394745900</v>
      </c>
      <c r="I756" s="22" t="str">
        <f t="shared" si="77"/>
        <v>-</v>
      </c>
      <c r="J756" s="7">
        <f t="shared" si="78"/>
        <v>-6.9711538461538467</v>
      </c>
      <c r="K756" s="7">
        <f t="shared" si="79"/>
        <v>131.66124699893601</v>
      </c>
      <c r="L756" s="2" t="str">
        <f t="shared" si="74"/>
        <v>Sharp Price Decrease</v>
      </c>
      <c r="M756" s="2" t="str">
        <f t="shared" si="75"/>
        <v>Normal</v>
      </c>
      <c r="N756" s="2" t="str">
        <f t="shared" si="76"/>
        <v>No</v>
      </c>
    </row>
    <row r="757" spans="1:14" x14ac:dyDescent="0.25">
      <c r="A757" s="3">
        <v>44574</v>
      </c>
      <c r="B757" s="4">
        <v>2022</v>
      </c>
      <c r="C757" s="5">
        <v>1935</v>
      </c>
      <c r="D757" s="5">
        <v>1995</v>
      </c>
      <c r="E757" s="5">
        <v>1840</v>
      </c>
      <c r="F757" s="5">
        <v>1965</v>
      </c>
      <c r="G757" s="5">
        <v>1632.95</v>
      </c>
      <c r="H757" s="6">
        <v>284219000</v>
      </c>
      <c r="I757" s="22" t="str">
        <f t="shared" si="77"/>
        <v>+</v>
      </c>
      <c r="J757" s="7">
        <f t="shared" si="78"/>
        <v>1.5503875968992249</v>
      </c>
      <c r="K757" s="7">
        <f t="shared" si="79"/>
        <v>-27.999505504680357</v>
      </c>
      <c r="L757" s="2" t="str">
        <f t="shared" si="74"/>
        <v>Normal</v>
      </c>
      <c r="M757" s="2" t="str">
        <f t="shared" si="75"/>
        <v>Normal</v>
      </c>
      <c r="N757" s="2" t="str">
        <f t="shared" si="76"/>
        <v>No</v>
      </c>
    </row>
    <row r="758" spans="1:14" x14ac:dyDescent="0.25">
      <c r="A758" s="3">
        <v>44575</v>
      </c>
      <c r="B758" s="4">
        <v>2022</v>
      </c>
      <c r="C758" s="5">
        <v>1965</v>
      </c>
      <c r="D758" s="5">
        <v>1975</v>
      </c>
      <c r="E758" s="5">
        <v>1930</v>
      </c>
      <c r="F758" s="5">
        <v>1950</v>
      </c>
      <c r="G758" s="5">
        <v>1620.48</v>
      </c>
      <c r="H758" s="6">
        <v>106442100</v>
      </c>
      <c r="I758" s="22" t="str">
        <f t="shared" si="77"/>
        <v>-</v>
      </c>
      <c r="J758" s="7">
        <f t="shared" si="78"/>
        <v>-0.76335877862595414</v>
      </c>
      <c r="K758" s="7">
        <f t="shared" si="79"/>
        <v>-62.549266586681398</v>
      </c>
      <c r="L758" s="2" t="str">
        <f t="shared" si="74"/>
        <v>Normal</v>
      </c>
      <c r="M758" s="2" t="str">
        <f t="shared" si="75"/>
        <v>Sharp Volume Decrease</v>
      </c>
      <c r="N758" s="2" t="str">
        <f t="shared" si="76"/>
        <v>No</v>
      </c>
    </row>
    <row r="759" spans="1:14" x14ac:dyDescent="0.25">
      <c r="A759" s="3">
        <v>44578</v>
      </c>
      <c r="B759" s="4">
        <v>2022</v>
      </c>
      <c r="C759" s="5">
        <v>1950</v>
      </c>
      <c r="D759" s="5">
        <v>1955</v>
      </c>
      <c r="E759" s="5">
        <v>1840</v>
      </c>
      <c r="F759" s="5">
        <v>1855</v>
      </c>
      <c r="G759" s="5">
        <v>1541.54</v>
      </c>
      <c r="H759" s="6">
        <v>183492900</v>
      </c>
      <c r="I759" s="22" t="str">
        <f t="shared" si="77"/>
        <v>-</v>
      </c>
      <c r="J759" s="7">
        <f t="shared" si="78"/>
        <v>-4.8717948717948723</v>
      </c>
      <c r="K759" s="7">
        <f t="shared" si="79"/>
        <v>72.387523357769155</v>
      </c>
      <c r="L759" s="2" t="str">
        <f t="shared" si="74"/>
        <v>Sharp Price Decrease</v>
      </c>
      <c r="M759" s="2" t="str">
        <f t="shared" si="75"/>
        <v>Normal</v>
      </c>
      <c r="N759" s="2" t="str">
        <f t="shared" si="76"/>
        <v>No</v>
      </c>
    </row>
    <row r="760" spans="1:14" x14ac:dyDescent="0.25">
      <c r="A760" s="3">
        <v>44579</v>
      </c>
      <c r="B760" s="4">
        <v>2022</v>
      </c>
      <c r="C760" s="5">
        <v>1850</v>
      </c>
      <c r="D760" s="5">
        <v>1875</v>
      </c>
      <c r="E760" s="5">
        <v>1765</v>
      </c>
      <c r="F760" s="5">
        <v>1780</v>
      </c>
      <c r="G760" s="5">
        <v>1479.21</v>
      </c>
      <c r="H760" s="6">
        <v>219496200</v>
      </c>
      <c r="I760" s="22" t="str">
        <f t="shared" si="77"/>
        <v>-</v>
      </c>
      <c r="J760" s="7">
        <f t="shared" si="78"/>
        <v>-4.0431266846361185</v>
      </c>
      <c r="K760" s="7">
        <f t="shared" si="79"/>
        <v>19.62108615646709</v>
      </c>
      <c r="L760" s="2" t="str">
        <f t="shared" si="74"/>
        <v>Normal</v>
      </c>
      <c r="M760" s="2" t="str">
        <f t="shared" si="75"/>
        <v>Normal</v>
      </c>
      <c r="N760" s="2" t="str">
        <f t="shared" si="76"/>
        <v>No</v>
      </c>
    </row>
    <row r="761" spans="1:14" x14ac:dyDescent="0.25">
      <c r="A761" s="3">
        <v>44580</v>
      </c>
      <c r="B761" s="4">
        <v>2022</v>
      </c>
      <c r="C761" s="5">
        <v>1780</v>
      </c>
      <c r="D761" s="5">
        <v>1810</v>
      </c>
      <c r="E761" s="5">
        <v>1705</v>
      </c>
      <c r="F761" s="5">
        <v>1725</v>
      </c>
      <c r="G761" s="5">
        <v>1433.5</v>
      </c>
      <c r="H761" s="6">
        <v>230606700</v>
      </c>
      <c r="I761" s="22" t="str">
        <f t="shared" si="77"/>
        <v>-</v>
      </c>
      <c r="J761" s="7">
        <f t="shared" si="78"/>
        <v>-3.089887640449438</v>
      </c>
      <c r="K761" s="7">
        <f t="shared" si="79"/>
        <v>5.0618188378659852</v>
      </c>
      <c r="L761" s="2" t="str">
        <f t="shared" si="74"/>
        <v>Normal</v>
      </c>
      <c r="M761" s="2" t="str">
        <f t="shared" si="75"/>
        <v>Normal</v>
      </c>
      <c r="N761" s="2" t="str">
        <f t="shared" si="76"/>
        <v>No</v>
      </c>
    </row>
    <row r="762" spans="1:14" x14ac:dyDescent="0.25">
      <c r="A762" s="3">
        <v>44581</v>
      </c>
      <c r="B762" s="4">
        <v>2022</v>
      </c>
      <c r="C762" s="5">
        <v>1765</v>
      </c>
      <c r="D762" s="5">
        <v>1935</v>
      </c>
      <c r="E762" s="5">
        <v>1750</v>
      </c>
      <c r="F762" s="5">
        <v>1935</v>
      </c>
      <c r="G762" s="5">
        <v>1608.02</v>
      </c>
      <c r="H762" s="6">
        <v>368848100</v>
      </c>
      <c r="I762" s="22" t="str">
        <f t="shared" si="77"/>
        <v>+</v>
      </c>
      <c r="J762" s="7">
        <f t="shared" si="78"/>
        <v>12.173913043478262</v>
      </c>
      <c r="K762" s="7">
        <f t="shared" si="79"/>
        <v>59.946827217075651</v>
      </c>
      <c r="L762" s="2" t="str">
        <f t="shared" si="74"/>
        <v>Sharp Price Increase</v>
      </c>
      <c r="M762" s="2" t="str">
        <f t="shared" si="75"/>
        <v>Normal</v>
      </c>
      <c r="N762" s="2" t="str">
        <f t="shared" si="76"/>
        <v>No</v>
      </c>
    </row>
    <row r="763" spans="1:14" x14ac:dyDescent="0.25">
      <c r="A763" s="3">
        <v>44582</v>
      </c>
      <c r="B763" s="4">
        <v>2022</v>
      </c>
      <c r="C763" s="5">
        <v>1935</v>
      </c>
      <c r="D763" s="5">
        <v>1965</v>
      </c>
      <c r="E763" s="5">
        <v>1890</v>
      </c>
      <c r="F763" s="5">
        <v>1945</v>
      </c>
      <c r="G763" s="5">
        <v>1616.33</v>
      </c>
      <c r="H763" s="6">
        <v>169331400</v>
      </c>
      <c r="I763" s="22" t="str">
        <f t="shared" si="77"/>
        <v>+</v>
      </c>
      <c r="J763" s="7">
        <f t="shared" si="78"/>
        <v>0.516795865633075</v>
      </c>
      <c r="K763" s="7">
        <f t="shared" si="79"/>
        <v>-54.091833467489735</v>
      </c>
      <c r="L763" s="2" t="str">
        <f t="shared" si="74"/>
        <v>Normal</v>
      </c>
      <c r="M763" s="2" t="str">
        <f t="shared" si="75"/>
        <v>Normal</v>
      </c>
      <c r="N763" s="2" t="str">
        <f t="shared" si="76"/>
        <v>No</v>
      </c>
    </row>
    <row r="764" spans="1:14" x14ac:dyDescent="0.25">
      <c r="A764" s="3">
        <v>44585</v>
      </c>
      <c r="B764" s="4">
        <v>2022</v>
      </c>
      <c r="C764" s="5">
        <v>1950</v>
      </c>
      <c r="D764" s="5">
        <v>1955</v>
      </c>
      <c r="E764" s="5">
        <v>1875</v>
      </c>
      <c r="F764" s="5">
        <v>1885</v>
      </c>
      <c r="G764" s="5">
        <v>1566.47</v>
      </c>
      <c r="H764" s="6">
        <v>70289800</v>
      </c>
      <c r="I764" s="22" t="str">
        <f t="shared" si="77"/>
        <v>-</v>
      </c>
      <c r="J764" s="7">
        <f t="shared" si="78"/>
        <v>-3.0848329048843186</v>
      </c>
      <c r="K764" s="7">
        <f t="shared" si="79"/>
        <v>-58.489801655215743</v>
      </c>
      <c r="L764" s="2" t="str">
        <f t="shared" si="74"/>
        <v>Normal</v>
      </c>
      <c r="M764" s="2" t="str">
        <f t="shared" si="75"/>
        <v>Sharp Volume Decrease</v>
      </c>
      <c r="N764" s="2" t="str">
        <f t="shared" si="76"/>
        <v>No</v>
      </c>
    </row>
    <row r="765" spans="1:14" x14ac:dyDescent="0.25">
      <c r="A765" s="3">
        <v>44586</v>
      </c>
      <c r="B765" s="4">
        <v>2022</v>
      </c>
      <c r="C765" s="5">
        <v>1840</v>
      </c>
      <c r="D765" s="5">
        <v>1840</v>
      </c>
      <c r="E765" s="5">
        <v>1755</v>
      </c>
      <c r="F765" s="5">
        <v>1760</v>
      </c>
      <c r="G765" s="5">
        <v>1462.59</v>
      </c>
      <c r="H765" s="6">
        <v>201603100</v>
      </c>
      <c r="I765" s="22" t="str">
        <f t="shared" si="77"/>
        <v>-</v>
      </c>
      <c r="J765" s="7">
        <f t="shared" si="78"/>
        <v>-6.6312997347480112</v>
      </c>
      <c r="K765" s="7">
        <f t="shared" si="79"/>
        <v>186.81700616590174</v>
      </c>
      <c r="L765" s="2" t="str">
        <f t="shared" si="74"/>
        <v>Sharp Price Decrease</v>
      </c>
      <c r="M765" s="2" t="str">
        <f t="shared" si="75"/>
        <v>Sharp Volume Increase</v>
      </c>
      <c r="N765" s="2" t="str">
        <f t="shared" si="76"/>
        <v>Yes</v>
      </c>
    </row>
    <row r="766" spans="1:14" x14ac:dyDescent="0.25">
      <c r="A766" s="3">
        <v>44587</v>
      </c>
      <c r="B766" s="4">
        <v>2022</v>
      </c>
      <c r="C766" s="5">
        <v>1780</v>
      </c>
      <c r="D766" s="5">
        <v>1815</v>
      </c>
      <c r="E766" s="5">
        <v>1735</v>
      </c>
      <c r="F766" s="5">
        <v>1805</v>
      </c>
      <c r="G766" s="5">
        <v>1499.98</v>
      </c>
      <c r="H766" s="6">
        <v>162799900</v>
      </c>
      <c r="I766" s="22" t="str">
        <f t="shared" si="77"/>
        <v>+</v>
      </c>
      <c r="J766" s="7">
        <f t="shared" si="78"/>
        <v>2.5568181818181821</v>
      </c>
      <c r="K766" s="7">
        <f t="shared" si="79"/>
        <v>-19.247323081837532</v>
      </c>
      <c r="L766" s="2" t="str">
        <f t="shared" si="74"/>
        <v>Normal</v>
      </c>
      <c r="M766" s="2" t="str">
        <f t="shared" si="75"/>
        <v>Normal</v>
      </c>
      <c r="N766" s="2" t="str">
        <f t="shared" si="76"/>
        <v>No</v>
      </c>
    </row>
    <row r="767" spans="1:14" x14ac:dyDescent="0.25">
      <c r="A767" s="3">
        <v>44588</v>
      </c>
      <c r="B767" s="4">
        <v>2022</v>
      </c>
      <c r="C767" s="5">
        <v>1775</v>
      </c>
      <c r="D767" s="5">
        <v>1790</v>
      </c>
      <c r="E767" s="5">
        <v>1750</v>
      </c>
      <c r="F767" s="5">
        <v>1765</v>
      </c>
      <c r="G767" s="5">
        <v>1466.74</v>
      </c>
      <c r="H767" s="6">
        <v>133831800</v>
      </c>
      <c r="I767" s="22" t="str">
        <f t="shared" si="77"/>
        <v>-</v>
      </c>
      <c r="J767" s="7">
        <f t="shared" si="78"/>
        <v>-2.21606648199446</v>
      </c>
      <c r="K767" s="7">
        <f t="shared" si="79"/>
        <v>-17.793684148454638</v>
      </c>
      <c r="L767" s="2" t="str">
        <f t="shared" si="74"/>
        <v>Normal</v>
      </c>
      <c r="M767" s="2" t="str">
        <f t="shared" si="75"/>
        <v>Normal</v>
      </c>
      <c r="N767" s="2" t="str">
        <f t="shared" si="76"/>
        <v>No</v>
      </c>
    </row>
    <row r="768" spans="1:14" x14ac:dyDescent="0.25">
      <c r="A768" s="3">
        <v>44589</v>
      </c>
      <c r="B768" s="4">
        <v>2022</v>
      </c>
      <c r="C768" s="5">
        <v>1770</v>
      </c>
      <c r="D768" s="5">
        <v>1790</v>
      </c>
      <c r="E768" s="5">
        <v>1755</v>
      </c>
      <c r="F768" s="5">
        <v>1770</v>
      </c>
      <c r="G768" s="5">
        <v>1470.9</v>
      </c>
      <c r="H768" s="6">
        <v>49925500</v>
      </c>
      <c r="I768" s="22" t="str">
        <f t="shared" si="77"/>
        <v>+</v>
      </c>
      <c r="J768" s="7">
        <f t="shared" si="78"/>
        <v>0.28328611898016998</v>
      </c>
      <c r="K768" s="7">
        <f t="shared" si="79"/>
        <v>-62.695338477103348</v>
      </c>
      <c r="L768" s="2" t="str">
        <f t="shared" si="74"/>
        <v>Normal</v>
      </c>
      <c r="M768" s="2" t="str">
        <f t="shared" si="75"/>
        <v>Sharp Volume Decrease</v>
      </c>
      <c r="N768" s="2" t="str">
        <f t="shared" si="76"/>
        <v>No</v>
      </c>
    </row>
    <row r="769" spans="1:14" x14ac:dyDescent="0.25">
      <c r="A769" s="3">
        <v>44592</v>
      </c>
      <c r="B769" s="4">
        <v>2022</v>
      </c>
      <c r="C769" s="5">
        <v>1785</v>
      </c>
      <c r="D769" s="5">
        <v>1810</v>
      </c>
      <c r="E769" s="5">
        <v>1770</v>
      </c>
      <c r="F769" s="5">
        <v>1770</v>
      </c>
      <c r="G769" s="5">
        <v>1470.9</v>
      </c>
      <c r="H769" s="6">
        <v>81820500</v>
      </c>
      <c r="I769" s="22" t="str">
        <f t="shared" si="77"/>
        <v>0</v>
      </c>
      <c r="J769" s="7">
        <f t="shared" si="78"/>
        <v>0</v>
      </c>
      <c r="K769" s="7">
        <f t="shared" si="79"/>
        <v>63.88518893150794</v>
      </c>
      <c r="L769" s="2" t="str">
        <f t="shared" si="74"/>
        <v>Normal</v>
      </c>
      <c r="M769" s="2" t="str">
        <f t="shared" si="75"/>
        <v>Normal</v>
      </c>
      <c r="N769" s="2" t="str">
        <f t="shared" si="76"/>
        <v>No</v>
      </c>
    </row>
    <row r="770" spans="1:14" x14ac:dyDescent="0.25">
      <c r="A770" s="3">
        <v>44594</v>
      </c>
      <c r="B770" s="4">
        <v>2022</v>
      </c>
      <c r="C770" s="5">
        <v>1805</v>
      </c>
      <c r="D770" s="5">
        <v>1830</v>
      </c>
      <c r="E770" s="5">
        <v>1775</v>
      </c>
      <c r="F770" s="5">
        <v>1780</v>
      </c>
      <c r="G770" s="5">
        <v>1479.21</v>
      </c>
      <c r="H770" s="6">
        <v>158843900</v>
      </c>
      <c r="I770" s="22" t="str">
        <f t="shared" si="77"/>
        <v>+</v>
      </c>
      <c r="J770" s="7">
        <f t="shared" si="78"/>
        <v>0.56497175141242939</v>
      </c>
      <c r="K770" s="7">
        <f t="shared" si="79"/>
        <v>94.137043894867418</v>
      </c>
      <c r="L770" s="2" t="str">
        <f t="shared" si="74"/>
        <v>Normal</v>
      </c>
      <c r="M770" s="2" t="str">
        <f t="shared" si="75"/>
        <v>Normal</v>
      </c>
      <c r="N770" s="2" t="str">
        <f t="shared" si="76"/>
        <v>No</v>
      </c>
    </row>
    <row r="771" spans="1:14" x14ac:dyDescent="0.25">
      <c r="A771" s="3">
        <v>44595</v>
      </c>
      <c r="B771" s="4">
        <v>2022</v>
      </c>
      <c r="C771" s="5">
        <v>1785</v>
      </c>
      <c r="D771" s="5">
        <v>1860</v>
      </c>
      <c r="E771" s="5">
        <v>1765</v>
      </c>
      <c r="F771" s="5">
        <v>1840</v>
      </c>
      <c r="G771" s="5">
        <v>1529.07</v>
      </c>
      <c r="H771" s="6">
        <v>125115700</v>
      </c>
      <c r="I771" s="22" t="str">
        <f t="shared" si="77"/>
        <v>+</v>
      </c>
      <c r="J771" s="7">
        <f t="shared" si="78"/>
        <v>3.3707865168539324</v>
      </c>
      <c r="K771" s="7">
        <f t="shared" si="79"/>
        <v>-21.233550674593108</v>
      </c>
      <c r="L771" s="2" t="str">
        <f t="shared" ref="L771:L834" si="80">IFERROR(IF(OR(J771="",ISBLANK(J771)),"Normal",IF(J771&lt;=$U$6,"Sharp Price Decrease",IF(J771&gt;=$U$7,"Sharp Price Increase","Normal"))),"Normal")</f>
        <v>Normal</v>
      </c>
      <c r="M771" s="2" t="str">
        <f t="shared" ref="M771:M834" si="81">IFERROR(IF(OR(K771="",ISBLANK(K771)),"Normal",IF(K771&lt;=$U$8,"Sharp Volume Decrease",IF(K771&gt;=$U$9,"Sharp Volume Increase","Normal"))),"Normal")</f>
        <v>Normal</v>
      </c>
      <c r="N771" s="2" t="str">
        <f t="shared" ref="N771:N834" si="82">IFERROR(IF(AND(OR(L771="Sharp Price Increase",L771="Sharp Price Decrease"),OR(M771="Sharp Volume Increase",M771="Sharp Volume Decrease")),"Yes","No"),"No")</f>
        <v>No</v>
      </c>
    </row>
    <row r="772" spans="1:14" x14ac:dyDescent="0.25">
      <c r="A772" s="3">
        <v>44596</v>
      </c>
      <c r="B772" s="4">
        <v>2022</v>
      </c>
      <c r="C772" s="5">
        <v>1830</v>
      </c>
      <c r="D772" s="5">
        <v>1835</v>
      </c>
      <c r="E772" s="5">
        <v>1805</v>
      </c>
      <c r="F772" s="5">
        <v>1810</v>
      </c>
      <c r="G772" s="5">
        <v>1504.14</v>
      </c>
      <c r="H772" s="6">
        <v>80295500</v>
      </c>
      <c r="I772" s="22" t="str">
        <f t="shared" ref="I772:I835" si="83">IFERROR(IF(OR(F771="",F772=""),"",IF(F772-F771&lt;0,"-",IF(F772-F771&gt;0,"+","0"))),"")</f>
        <v>-</v>
      </c>
      <c r="J772" s="7">
        <f t="shared" ref="J772:J835" si="84">(F772-F771)/F771*100</f>
        <v>-1.6304347826086956</v>
      </c>
      <c r="K772" s="7">
        <f t="shared" ref="K772:K835" si="85">(H772-H771)/H771*100</f>
        <v>-35.823002229136712</v>
      </c>
      <c r="L772" s="2" t="str">
        <f t="shared" si="80"/>
        <v>Normal</v>
      </c>
      <c r="M772" s="2" t="str">
        <f t="shared" si="81"/>
        <v>Normal</v>
      </c>
      <c r="N772" s="2" t="str">
        <f t="shared" si="82"/>
        <v>No</v>
      </c>
    </row>
    <row r="773" spans="1:14" x14ac:dyDescent="0.25">
      <c r="A773" s="3">
        <v>44599</v>
      </c>
      <c r="B773" s="4">
        <v>2022</v>
      </c>
      <c r="C773" s="5">
        <v>1810</v>
      </c>
      <c r="D773" s="5">
        <v>1835</v>
      </c>
      <c r="E773" s="5">
        <v>1805</v>
      </c>
      <c r="F773" s="5">
        <v>1810</v>
      </c>
      <c r="G773" s="5">
        <v>1504.14</v>
      </c>
      <c r="H773" s="6">
        <v>74469900</v>
      </c>
      <c r="I773" s="22" t="str">
        <f t="shared" si="83"/>
        <v>0</v>
      </c>
      <c r="J773" s="7">
        <f t="shared" si="84"/>
        <v>0</v>
      </c>
      <c r="K773" s="7">
        <f t="shared" si="85"/>
        <v>-7.2552011009334265</v>
      </c>
      <c r="L773" s="2" t="str">
        <f t="shared" si="80"/>
        <v>Normal</v>
      </c>
      <c r="M773" s="2" t="str">
        <f t="shared" si="81"/>
        <v>Normal</v>
      </c>
      <c r="N773" s="2" t="str">
        <f t="shared" si="82"/>
        <v>No</v>
      </c>
    </row>
    <row r="774" spans="1:14" x14ac:dyDescent="0.25">
      <c r="A774" s="3">
        <v>44600</v>
      </c>
      <c r="B774" s="4">
        <v>2022</v>
      </c>
      <c r="C774" s="5">
        <v>1820</v>
      </c>
      <c r="D774" s="5">
        <v>1825</v>
      </c>
      <c r="E774" s="5">
        <v>1785</v>
      </c>
      <c r="F774" s="5">
        <v>1790</v>
      </c>
      <c r="G774" s="5">
        <v>1487.52</v>
      </c>
      <c r="H774" s="6">
        <v>90880800</v>
      </c>
      <c r="I774" s="22" t="str">
        <f t="shared" si="83"/>
        <v>-</v>
      </c>
      <c r="J774" s="7">
        <f t="shared" si="84"/>
        <v>-1.1049723756906076</v>
      </c>
      <c r="K774" s="7">
        <f t="shared" si="85"/>
        <v>22.036957213585623</v>
      </c>
      <c r="L774" s="2" t="str">
        <f t="shared" si="80"/>
        <v>Normal</v>
      </c>
      <c r="M774" s="2" t="str">
        <f t="shared" si="81"/>
        <v>Normal</v>
      </c>
      <c r="N774" s="2" t="str">
        <f t="shared" si="82"/>
        <v>No</v>
      </c>
    </row>
    <row r="775" spans="1:14" x14ac:dyDescent="0.25">
      <c r="A775" s="3">
        <v>44601</v>
      </c>
      <c r="B775" s="4">
        <v>2022</v>
      </c>
      <c r="C775" s="5">
        <v>1790</v>
      </c>
      <c r="D775" s="5">
        <v>1800</v>
      </c>
      <c r="E775" s="5">
        <v>1770</v>
      </c>
      <c r="F775" s="5">
        <v>1780</v>
      </c>
      <c r="G775" s="5">
        <v>1479.21</v>
      </c>
      <c r="H775" s="6">
        <v>73968100</v>
      </c>
      <c r="I775" s="22" t="str">
        <f t="shared" si="83"/>
        <v>-</v>
      </c>
      <c r="J775" s="7">
        <f t="shared" si="84"/>
        <v>-0.55865921787709494</v>
      </c>
      <c r="K775" s="7">
        <f t="shared" si="85"/>
        <v>-18.609761357734527</v>
      </c>
      <c r="L775" s="2" t="str">
        <f t="shared" si="80"/>
        <v>Normal</v>
      </c>
      <c r="M775" s="2" t="str">
        <f t="shared" si="81"/>
        <v>Normal</v>
      </c>
      <c r="N775" s="2" t="str">
        <f t="shared" si="82"/>
        <v>No</v>
      </c>
    </row>
    <row r="776" spans="1:14" x14ac:dyDescent="0.25">
      <c r="A776" s="3">
        <v>44602</v>
      </c>
      <c r="B776" s="4">
        <v>2022</v>
      </c>
      <c r="C776" s="5">
        <v>1795</v>
      </c>
      <c r="D776" s="5">
        <v>1905</v>
      </c>
      <c r="E776" s="5">
        <v>1790</v>
      </c>
      <c r="F776" s="5">
        <v>1880</v>
      </c>
      <c r="G776" s="5">
        <v>1562.31</v>
      </c>
      <c r="H776" s="6">
        <v>255038700</v>
      </c>
      <c r="I776" s="22" t="str">
        <f t="shared" si="83"/>
        <v>+</v>
      </c>
      <c r="J776" s="7">
        <f t="shared" si="84"/>
        <v>5.6179775280898872</v>
      </c>
      <c r="K776" s="7">
        <f t="shared" si="85"/>
        <v>244.79552672030241</v>
      </c>
      <c r="L776" s="2" t="str">
        <f t="shared" si="80"/>
        <v>Sharp Price Increase</v>
      </c>
      <c r="M776" s="2" t="str">
        <f t="shared" si="81"/>
        <v>Sharp Volume Increase</v>
      </c>
      <c r="N776" s="2" t="str">
        <f t="shared" si="82"/>
        <v>Yes</v>
      </c>
    </row>
    <row r="777" spans="1:14" x14ac:dyDescent="0.25">
      <c r="A777" s="3">
        <v>44603</v>
      </c>
      <c r="B777" s="4">
        <v>2022</v>
      </c>
      <c r="C777" s="5">
        <v>1890</v>
      </c>
      <c r="D777" s="5">
        <v>1900</v>
      </c>
      <c r="E777" s="5">
        <v>1830</v>
      </c>
      <c r="F777" s="5">
        <v>1845</v>
      </c>
      <c r="G777" s="5">
        <v>1533.23</v>
      </c>
      <c r="H777" s="6">
        <v>112845700</v>
      </c>
      <c r="I777" s="22" t="str">
        <f t="shared" si="83"/>
        <v>-</v>
      </c>
      <c r="J777" s="7">
        <f t="shared" si="84"/>
        <v>-1.8617021276595744</v>
      </c>
      <c r="K777" s="7">
        <f t="shared" si="85"/>
        <v>-55.753499370879787</v>
      </c>
      <c r="L777" s="2" t="str">
        <f t="shared" si="80"/>
        <v>Normal</v>
      </c>
      <c r="M777" s="2" t="str">
        <f t="shared" si="81"/>
        <v>Normal</v>
      </c>
      <c r="N777" s="2" t="str">
        <f t="shared" si="82"/>
        <v>No</v>
      </c>
    </row>
    <row r="778" spans="1:14" x14ac:dyDescent="0.25">
      <c r="A778" s="3">
        <v>44606</v>
      </c>
      <c r="B778" s="4">
        <v>2022</v>
      </c>
      <c r="C778" s="5">
        <v>1840</v>
      </c>
      <c r="D778" s="5">
        <v>1900</v>
      </c>
      <c r="E778" s="5">
        <v>1810</v>
      </c>
      <c r="F778" s="5">
        <v>1890</v>
      </c>
      <c r="G778" s="5">
        <v>1570.62</v>
      </c>
      <c r="H778" s="6">
        <v>126046500</v>
      </c>
      <c r="I778" s="22" t="str">
        <f t="shared" si="83"/>
        <v>+</v>
      </c>
      <c r="J778" s="7">
        <f t="shared" si="84"/>
        <v>2.4390243902439024</v>
      </c>
      <c r="K778" s="7">
        <f t="shared" si="85"/>
        <v>11.698097490644304</v>
      </c>
      <c r="L778" s="2" t="str">
        <f t="shared" si="80"/>
        <v>Normal</v>
      </c>
      <c r="M778" s="2" t="str">
        <f t="shared" si="81"/>
        <v>Normal</v>
      </c>
      <c r="N778" s="2" t="str">
        <f t="shared" si="82"/>
        <v>No</v>
      </c>
    </row>
    <row r="779" spans="1:14" x14ac:dyDescent="0.25">
      <c r="A779" s="3">
        <v>44607</v>
      </c>
      <c r="B779" s="4">
        <v>2022</v>
      </c>
      <c r="C779" s="5">
        <v>1890</v>
      </c>
      <c r="D779" s="5">
        <v>1910</v>
      </c>
      <c r="E779" s="5">
        <v>1865</v>
      </c>
      <c r="F779" s="5">
        <v>1880</v>
      </c>
      <c r="G779" s="5">
        <v>1562.31</v>
      </c>
      <c r="H779" s="6">
        <v>80643100</v>
      </c>
      <c r="I779" s="22" t="str">
        <f t="shared" si="83"/>
        <v>-</v>
      </c>
      <c r="J779" s="7">
        <f t="shared" si="84"/>
        <v>-0.52910052910052907</v>
      </c>
      <c r="K779" s="7">
        <f t="shared" si="85"/>
        <v>-36.021150924460414</v>
      </c>
      <c r="L779" s="2" t="str">
        <f t="shared" si="80"/>
        <v>Normal</v>
      </c>
      <c r="M779" s="2" t="str">
        <f t="shared" si="81"/>
        <v>Normal</v>
      </c>
      <c r="N779" s="2" t="str">
        <f t="shared" si="82"/>
        <v>No</v>
      </c>
    </row>
    <row r="780" spans="1:14" x14ac:dyDescent="0.25">
      <c r="A780" s="3">
        <v>44608</v>
      </c>
      <c r="B780" s="4">
        <v>2022</v>
      </c>
      <c r="C780" s="5">
        <v>1890</v>
      </c>
      <c r="D780" s="5">
        <v>1895</v>
      </c>
      <c r="E780" s="5">
        <v>1870</v>
      </c>
      <c r="F780" s="5">
        <v>1880</v>
      </c>
      <c r="G780" s="5">
        <v>1562.31</v>
      </c>
      <c r="H780" s="6">
        <v>48783800</v>
      </c>
      <c r="I780" s="22" t="str">
        <f t="shared" si="83"/>
        <v>0</v>
      </c>
      <c r="J780" s="7">
        <f t="shared" si="84"/>
        <v>0</v>
      </c>
      <c r="K780" s="7">
        <f t="shared" si="85"/>
        <v>-39.506541787208086</v>
      </c>
      <c r="L780" s="2" t="str">
        <f t="shared" si="80"/>
        <v>Normal</v>
      </c>
      <c r="M780" s="2" t="str">
        <f t="shared" si="81"/>
        <v>Normal</v>
      </c>
      <c r="N780" s="2" t="str">
        <f t="shared" si="82"/>
        <v>No</v>
      </c>
    </row>
    <row r="781" spans="1:14" x14ac:dyDescent="0.25">
      <c r="A781" s="3">
        <v>44609</v>
      </c>
      <c r="B781" s="4">
        <v>2022</v>
      </c>
      <c r="C781" s="5">
        <v>1885</v>
      </c>
      <c r="D781" s="5">
        <v>1945</v>
      </c>
      <c r="E781" s="5">
        <v>1855</v>
      </c>
      <c r="F781" s="5">
        <v>1945</v>
      </c>
      <c r="G781" s="5">
        <v>1616.33</v>
      </c>
      <c r="H781" s="6">
        <v>118149300</v>
      </c>
      <c r="I781" s="22" t="str">
        <f t="shared" si="83"/>
        <v>+</v>
      </c>
      <c r="J781" s="7">
        <f t="shared" si="84"/>
        <v>3.4574468085106385</v>
      </c>
      <c r="K781" s="7">
        <f t="shared" si="85"/>
        <v>142.18962032477995</v>
      </c>
      <c r="L781" s="2" t="str">
        <f t="shared" si="80"/>
        <v>Normal</v>
      </c>
      <c r="M781" s="2" t="str">
        <f t="shared" si="81"/>
        <v>Normal</v>
      </c>
      <c r="N781" s="2" t="str">
        <f t="shared" si="82"/>
        <v>No</v>
      </c>
    </row>
    <row r="782" spans="1:14" x14ac:dyDescent="0.25">
      <c r="A782" s="3">
        <v>44610</v>
      </c>
      <c r="B782" s="4">
        <v>2022</v>
      </c>
      <c r="C782" s="5">
        <v>1955</v>
      </c>
      <c r="D782" s="5">
        <v>2140</v>
      </c>
      <c r="E782" s="5">
        <v>1955</v>
      </c>
      <c r="F782" s="5">
        <v>2090</v>
      </c>
      <c r="G782" s="5">
        <v>1736.82</v>
      </c>
      <c r="H782" s="6">
        <v>412835800</v>
      </c>
      <c r="I782" s="22" t="str">
        <f t="shared" si="83"/>
        <v>+</v>
      </c>
      <c r="J782" s="7">
        <f t="shared" si="84"/>
        <v>7.4550128534704374</v>
      </c>
      <c r="K782" s="7">
        <f t="shared" si="85"/>
        <v>249.41874391130546</v>
      </c>
      <c r="L782" s="2" t="str">
        <f t="shared" si="80"/>
        <v>Sharp Price Increase</v>
      </c>
      <c r="M782" s="2" t="str">
        <f t="shared" si="81"/>
        <v>Sharp Volume Increase</v>
      </c>
      <c r="N782" s="2" t="str">
        <f t="shared" si="82"/>
        <v>Yes</v>
      </c>
    </row>
    <row r="783" spans="1:14" x14ac:dyDescent="0.25">
      <c r="A783" s="3">
        <v>44613</v>
      </c>
      <c r="B783" s="4">
        <v>2022</v>
      </c>
      <c r="C783" s="5">
        <v>2100</v>
      </c>
      <c r="D783" s="5">
        <v>2190</v>
      </c>
      <c r="E783" s="5">
        <v>2100</v>
      </c>
      <c r="F783" s="5">
        <v>2170</v>
      </c>
      <c r="G783" s="5">
        <v>1803.31</v>
      </c>
      <c r="H783" s="6">
        <v>210845000</v>
      </c>
      <c r="I783" s="22" t="str">
        <f t="shared" si="83"/>
        <v>+</v>
      </c>
      <c r="J783" s="7">
        <f t="shared" si="84"/>
        <v>3.8277511961722488</v>
      </c>
      <c r="K783" s="7">
        <f t="shared" si="85"/>
        <v>-48.92763660515876</v>
      </c>
      <c r="L783" s="2" t="str">
        <f t="shared" si="80"/>
        <v>Normal</v>
      </c>
      <c r="M783" s="2" t="str">
        <f t="shared" si="81"/>
        <v>Normal</v>
      </c>
      <c r="N783" s="2" t="str">
        <f t="shared" si="82"/>
        <v>No</v>
      </c>
    </row>
    <row r="784" spans="1:14" x14ac:dyDescent="0.25">
      <c r="A784" s="3">
        <v>44614</v>
      </c>
      <c r="B784" s="4">
        <v>2022</v>
      </c>
      <c r="C784" s="5">
        <v>2150</v>
      </c>
      <c r="D784" s="5">
        <v>2200</v>
      </c>
      <c r="E784" s="5">
        <v>2100</v>
      </c>
      <c r="F784" s="5">
        <v>2180</v>
      </c>
      <c r="G784" s="5">
        <v>1811.62</v>
      </c>
      <c r="H784" s="6">
        <v>215581800</v>
      </c>
      <c r="I784" s="22" t="str">
        <f t="shared" si="83"/>
        <v>+</v>
      </c>
      <c r="J784" s="7">
        <f t="shared" si="84"/>
        <v>0.46082949308755761</v>
      </c>
      <c r="K784" s="7">
        <f t="shared" si="85"/>
        <v>2.2465792406744289</v>
      </c>
      <c r="L784" s="2" t="str">
        <f t="shared" si="80"/>
        <v>Normal</v>
      </c>
      <c r="M784" s="2" t="str">
        <f t="shared" si="81"/>
        <v>Normal</v>
      </c>
      <c r="N784" s="2" t="str">
        <f t="shared" si="82"/>
        <v>No</v>
      </c>
    </row>
    <row r="785" spans="1:14" x14ac:dyDescent="0.25">
      <c r="A785" s="3">
        <v>44615</v>
      </c>
      <c r="B785" s="4">
        <v>2022</v>
      </c>
      <c r="C785" s="5">
        <v>2200</v>
      </c>
      <c r="D785" s="5">
        <v>2230</v>
      </c>
      <c r="E785" s="5">
        <v>2170</v>
      </c>
      <c r="F785" s="5">
        <v>2200</v>
      </c>
      <c r="G785" s="5">
        <v>1828.24</v>
      </c>
      <c r="H785" s="6">
        <v>140926300</v>
      </c>
      <c r="I785" s="22" t="str">
        <f t="shared" si="83"/>
        <v>+</v>
      </c>
      <c r="J785" s="7">
        <f t="shared" si="84"/>
        <v>0.91743119266055051</v>
      </c>
      <c r="K785" s="7">
        <f t="shared" si="85"/>
        <v>-34.629778580566636</v>
      </c>
      <c r="L785" s="2" t="str">
        <f t="shared" si="80"/>
        <v>Normal</v>
      </c>
      <c r="M785" s="2" t="str">
        <f t="shared" si="81"/>
        <v>Normal</v>
      </c>
      <c r="N785" s="2" t="str">
        <f t="shared" si="82"/>
        <v>No</v>
      </c>
    </row>
    <row r="786" spans="1:14" x14ac:dyDescent="0.25">
      <c r="A786" s="3">
        <v>44616</v>
      </c>
      <c r="B786" s="4">
        <v>2022</v>
      </c>
      <c r="C786" s="5">
        <v>2190</v>
      </c>
      <c r="D786" s="5">
        <v>2240</v>
      </c>
      <c r="E786" s="5">
        <v>2120</v>
      </c>
      <c r="F786" s="5">
        <v>2220</v>
      </c>
      <c r="G786" s="5">
        <v>1844.86</v>
      </c>
      <c r="H786" s="6">
        <v>303802600</v>
      </c>
      <c r="I786" s="22" t="str">
        <f t="shared" si="83"/>
        <v>+</v>
      </c>
      <c r="J786" s="7">
        <f t="shared" si="84"/>
        <v>0.90909090909090906</v>
      </c>
      <c r="K786" s="7">
        <f t="shared" si="85"/>
        <v>115.57551713200446</v>
      </c>
      <c r="L786" s="2" t="str">
        <f t="shared" si="80"/>
        <v>Normal</v>
      </c>
      <c r="M786" s="2" t="str">
        <f t="shared" si="81"/>
        <v>Normal</v>
      </c>
      <c r="N786" s="2" t="str">
        <f t="shared" si="82"/>
        <v>No</v>
      </c>
    </row>
    <row r="787" spans="1:14" x14ac:dyDescent="0.25">
      <c r="A787" s="3">
        <v>44617</v>
      </c>
      <c r="B787" s="4">
        <v>2022</v>
      </c>
      <c r="C787" s="5">
        <v>2220</v>
      </c>
      <c r="D787" s="5">
        <v>2270</v>
      </c>
      <c r="E787" s="5">
        <v>2200</v>
      </c>
      <c r="F787" s="5">
        <v>2220</v>
      </c>
      <c r="G787" s="5">
        <v>1844.86</v>
      </c>
      <c r="H787" s="6">
        <v>189907800</v>
      </c>
      <c r="I787" s="22" t="str">
        <f t="shared" si="83"/>
        <v>0</v>
      </c>
      <c r="J787" s="7">
        <f t="shared" si="84"/>
        <v>0</v>
      </c>
      <c r="K787" s="7">
        <f t="shared" si="85"/>
        <v>-37.489738402502148</v>
      </c>
      <c r="L787" s="2" t="str">
        <f t="shared" si="80"/>
        <v>Normal</v>
      </c>
      <c r="M787" s="2" t="str">
        <f t="shared" si="81"/>
        <v>Normal</v>
      </c>
      <c r="N787" s="2" t="str">
        <f t="shared" si="82"/>
        <v>No</v>
      </c>
    </row>
    <row r="788" spans="1:14" x14ac:dyDescent="0.25">
      <c r="A788" s="3">
        <v>44621</v>
      </c>
      <c r="B788" s="4">
        <v>2022</v>
      </c>
      <c r="C788" s="5">
        <v>2240</v>
      </c>
      <c r="D788" s="5">
        <v>2300</v>
      </c>
      <c r="E788" s="5">
        <v>2230</v>
      </c>
      <c r="F788" s="5">
        <v>2260</v>
      </c>
      <c r="G788" s="5">
        <v>1878.1</v>
      </c>
      <c r="H788" s="6">
        <v>137694700</v>
      </c>
      <c r="I788" s="22" t="str">
        <f t="shared" si="83"/>
        <v>+</v>
      </c>
      <c r="J788" s="7">
        <f t="shared" si="84"/>
        <v>1.8018018018018018</v>
      </c>
      <c r="K788" s="7">
        <f t="shared" si="85"/>
        <v>-27.493920734166789</v>
      </c>
      <c r="L788" s="2" t="str">
        <f t="shared" si="80"/>
        <v>Normal</v>
      </c>
      <c r="M788" s="2" t="str">
        <f t="shared" si="81"/>
        <v>Normal</v>
      </c>
      <c r="N788" s="2" t="str">
        <f t="shared" si="82"/>
        <v>No</v>
      </c>
    </row>
    <row r="789" spans="1:14" x14ac:dyDescent="0.25">
      <c r="A789" s="3">
        <v>44622</v>
      </c>
      <c r="B789" s="4">
        <v>2022</v>
      </c>
      <c r="C789" s="5">
        <v>2300</v>
      </c>
      <c r="D789" s="5">
        <v>2340</v>
      </c>
      <c r="E789" s="5">
        <v>2280</v>
      </c>
      <c r="F789" s="5">
        <v>2290</v>
      </c>
      <c r="G789" s="5">
        <v>1903.03</v>
      </c>
      <c r="H789" s="6">
        <v>152871500</v>
      </c>
      <c r="I789" s="22" t="str">
        <f t="shared" si="83"/>
        <v>+</v>
      </c>
      <c r="J789" s="7">
        <f t="shared" si="84"/>
        <v>1.3274336283185841</v>
      </c>
      <c r="K789" s="7">
        <f t="shared" si="85"/>
        <v>11.022065482549436</v>
      </c>
      <c r="L789" s="2" t="str">
        <f t="shared" si="80"/>
        <v>Normal</v>
      </c>
      <c r="M789" s="2" t="str">
        <f t="shared" si="81"/>
        <v>Normal</v>
      </c>
      <c r="N789" s="2" t="str">
        <f t="shared" si="82"/>
        <v>No</v>
      </c>
    </row>
    <row r="790" spans="1:14" x14ac:dyDescent="0.25">
      <c r="A790" s="3">
        <v>44624</v>
      </c>
      <c r="B790" s="4">
        <v>2022</v>
      </c>
      <c r="C790" s="5">
        <v>2350</v>
      </c>
      <c r="D790" s="5">
        <v>2460</v>
      </c>
      <c r="E790" s="5">
        <v>2340</v>
      </c>
      <c r="F790" s="5">
        <v>2450</v>
      </c>
      <c r="G790" s="5">
        <v>2035.99</v>
      </c>
      <c r="H790" s="6">
        <v>320796500</v>
      </c>
      <c r="I790" s="22" t="str">
        <f t="shared" si="83"/>
        <v>+</v>
      </c>
      <c r="J790" s="7">
        <f t="shared" si="84"/>
        <v>6.9868995633187767</v>
      </c>
      <c r="K790" s="7">
        <f t="shared" si="85"/>
        <v>109.84715921541948</v>
      </c>
      <c r="L790" s="2" t="str">
        <f t="shared" si="80"/>
        <v>Sharp Price Increase</v>
      </c>
      <c r="M790" s="2" t="str">
        <f t="shared" si="81"/>
        <v>Normal</v>
      </c>
      <c r="N790" s="2" t="str">
        <f t="shared" si="82"/>
        <v>No</v>
      </c>
    </row>
    <row r="791" spans="1:14" x14ac:dyDescent="0.25">
      <c r="A791" s="3">
        <v>44627</v>
      </c>
      <c r="B791" s="4">
        <v>2022</v>
      </c>
      <c r="C791" s="5">
        <v>2520</v>
      </c>
      <c r="D791" s="5">
        <v>2830</v>
      </c>
      <c r="E791" s="5">
        <v>2480</v>
      </c>
      <c r="F791" s="5">
        <v>2820</v>
      </c>
      <c r="G791" s="5">
        <v>2343.4699999999998</v>
      </c>
      <c r="H791" s="6">
        <v>642031000</v>
      </c>
      <c r="I791" s="22" t="str">
        <f t="shared" si="83"/>
        <v>+</v>
      </c>
      <c r="J791" s="7">
        <f t="shared" si="84"/>
        <v>15.102040816326531</v>
      </c>
      <c r="K791" s="7">
        <f t="shared" si="85"/>
        <v>100.13653515546461</v>
      </c>
      <c r="L791" s="2" t="str">
        <f t="shared" si="80"/>
        <v>Sharp Price Increase</v>
      </c>
      <c r="M791" s="2" t="str">
        <f t="shared" si="81"/>
        <v>Normal</v>
      </c>
      <c r="N791" s="2" t="str">
        <f t="shared" si="82"/>
        <v>No</v>
      </c>
    </row>
    <row r="792" spans="1:14" x14ac:dyDescent="0.25">
      <c r="A792" s="3">
        <v>44628</v>
      </c>
      <c r="B792" s="4">
        <v>2022</v>
      </c>
      <c r="C792" s="5">
        <v>2990</v>
      </c>
      <c r="D792" s="5">
        <v>3170</v>
      </c>
      <c r="E792" s="5">
        <v>2830</v>
      </c>
      <c r="F792" s="5">
        <v>2840</v>
      </c>
      <c r="G792" s="5">
        <v>2360.09</v>
      </c>
      <c r="H792" s="6">
        <v>1404951500</v>
      </c>
      <c r="I792" s="22" t="str">
        <f t="shared" si="83"/>
        <v>+</v>
      </c>
      <c r="J792" s="7">
        <f t="shared" si="84"/>
        <v>0.70921985815602839</v>
      </c>
      <c r="K792" s="7">
        <f t="shared" si="85"/>
        <v>118.82923098728877</v>
      </c>
      <c r="L792" s="2" t="str">
        <f t="shared" si="80"/>
        <v>Normal</v>
      </c>
      <c r="M792" s="2" t="str">
        <f t="shared" si="81"/>
        <v>Normal</v>
      </c>
      <c r="N792" s="2" t="str">
        <f t="shared" si="82"/>
        <v>No</v>
      </c>
    </row>
    <row r="793" spans="1:14" x14ac:dyDescent="0.25">
      <c r="A793" s="3">
        <v>44629</v>
      </c>
      <c r="B793" s="4">
        <v>2022</v>
      </c>
      <c r="C793" s="5">
        <v>2650</v>
      </c>
      <c r="D793" s="5">
        <v>2740</v>
      </c>
      <c r="E793" s="5">
        <v>2650</v>
      </c>
      <c r="F793" s="5">
        <v>2650</v>
      </c>
      <c r="G793" s="5">
        <v>2202.19</v>
      </c>
      <c r="H793" s="6">
        <v>706107000</v>
      </c>
      <c r="I793" s="22" t="str">
        <f t="shared" si="83"/>
        <v>-</v>
      </c>
      <c r="J793" s="7">
        <f t="shared" si="84"/>
        <v>-6.6901408450704221</v>
      </c>
      <c r="K793" s="7">
        <f t="shared" si="85"/>
        <v>-49.74153912074545</v>
      </c>
      <c r="L793" s="2" t="str">
        <f t="shared" si="80"/>
        <v>Sharp Price Decrease</v>
      </c>
      <c r="M793" s="2" t="str">
        <f t="shared" si="81"/>
        <v>Normal</v>
      </c>
      <c r="N793" s="2" t="str">
        <f t="shared" si="82"/>
        <v>No</v>
      </c>
    </row>
    <row r="794" spans="1:14" x14ac:dyDescent="0.25">
      <c r="A794" s="3">
        <v>44630</v>
      </c>
      <c r="B794" s="4">
        <v>2022</v>
      </c>
      <c r="C794" s="5">
        <v>2530</v>
      </c>
      <c r="D794" s="5">
        <v>2660</v>
      </c>
      <c r="E794" s="5">
        <v>2490</v>
      </c>
      <c r="F794" s="5">
        <v>2570</v>
      </c>
      <c r="G794" s="5">
        <v>2135.71</v>
      </c>
      <c r="H794" s="6">
        <v>489605600</v>
      </c>
      <c r="I794" s="22" t="str">
        <f t="shared" si="83"/>
        <v>-</v>
      </c>
      <c r="J794" s="7">
        <f t="shared" si="84"/>
        <v>-3.0188679245283021</v>
      </c>
      <c r="K794" s="7">
        <f t="shared" si="85"/>
        <v>-30.661273716306454</v>
      </c>
      <c r="L794" s="2" t="str">
        <f t="shared" si="80"/>
        <v>Normal</v>
      </c>
      <c r="M794" s="2" t="str">
        <f t="shared" si="81"/>
        <v>Normal</v>
      </c>
      <c r="N794" s="2" t="str">
        <f t="shared" si="82"/>
        <v>No</v>
      </c>
    </row>
    <row r="795" spans="1:14" x14ac:dyDescent="0.25">
      <c r="A795" s="3">
        <v>44631</v>
      </c>
      <c r="B795" s="4">
        <v>2022</v>
      </c>
      <c r="C795" s="5">
        <v>2590</v>
      </c>
      <c r="D795" s="5">
        <v>2660</v>
      </c>
      <c r="E795" s="5">
        <v>2520</v>
      </c>
      <c r="F795" s="5">
        <v>2520</v>
      </c>
      <c r="G795" s="5">
        <v>2094.16</v>
      </c>
      <c r="H795" s="6">
        <v>359113700</v>
      </c>
      <c r="I795" s="22" t="str">
        <f t="shared" si="83"/>
        <v>-</v>
      </c>
      <c r="J795" s="7">
        <f t="shared" si="84"/>
        <v>-1.9455252918287937</v>
      </c>
      <c r="K795" s="7">
        <f t="shared" si="85"/>
        <v>-26.652452504628215</v>
      </c>
      <c r="L795" s="2" t="str">
        <f t="shared" si="80"/>
        <v>Normal</v>
      </c>
      <c r="M795" s="2" t="str">
        <f t="shared" si="81"/>
        <v>Normal</v>
      </c>
      <c r="N795" s="2" t="str">
        <f t="shared" si="82"/>
        <v>No</v>
      </c>
    </row>
    <row r="796" spans="1:14" x14ac:dyDescent="0.25">
      <c r="A796" s="3">
        <v>44634</v>
      </c>
      <c r="B796" s="4">
        <v>2022</v>
      </c>
      <c r="C796" s="5">
        <v>2520</v>
      </c>
      <c r="D796" s="5">
        <v>2540</v>
      </c>
      <c r="E796" s="5">
        <v>2360</v>
      </c>
      <c r="F796" s="5">
        <v>2400</v>
      </c>
      <c r="G796" s="5">
        <v>1994.44</v>
      </c>
      <c r="H796" s="6">
        <v>394132400</v>
      </c>
      <c r="I796" s="22" t="str">
        <f t="shared" si="83"/>
        <v>-</v>
      </c>
      <c r="J796" s="7">
        <f t="shared" si="84"/>
        <v>-4.7619047619047619</v>
      </c>
      <c r="K796" s="7">
        <f t="shared" si="85"/>
        <v>9.7514241311317278</v>
      </c>
      <c r="L796" s="2" t="str">
        <f t="shared" si="80"/>
        <v>Sharp Price Decrease</v>
      </c>
      <c r="M796" s="2" t="str">
        <f t="shared" si="81"/>
        <v>Normal</v>
      </c>
      <c r="N796" s="2" t="str">
        <f t="shared" si="82"/>
        <v>No</v>
      </c>
    </row>
    <row r="797" spans="1:14" x14ac:dyDescent="0.25">
      <c r="A797" s="3">
        <v>44635</v>
      </c>
      <c r="B797" s="4">
        <v>2022</v>
      </c>
      <c r="C797" s="5">
        <v>2400</v>
      </c>
      <c r="D797" s="5">
        <v>2460</v>
      </c>
      <c r="E797" s="5">
        <v>2350</v>
      </c>
      <c r="F797" s="5">
        <v>2370</v>
      </c>
      <c r="G797" s="5">
        <v>1969.51</v>
      </c>
      <c r="H797" s="6">
        <v>170695100</v>
      </c>
      <c r="I797" s="22" t="str">
        <f t="shared" si="83"/>
        <v>-</v>
      </c>
      <c r="J797" s="7">
        <f t="shared" si="84"/>
        <v>-1.25</v>
      </c>
      <c r="K797" s="7">
        <f t="shared" si="85"/>
        <v>-56.690924166599856</v>
      </c>
      <c r="L797" s="2" t="str">
        <f t="shared" si="80"/>
        <v>Normal</v>
      </c>
      <c r="M797" s="2" t="str">
        <f t="shared" si="81"/>
        <v>Normal</v>
      </c>
      <c r="N797" s="2" t="str">
        <f t="shared" si="82"/>
        <v>No</v>
      </c>
    </row>
    <row r="798" spans="1:14" x14ac:dyDescent="0.25">
      <c r="A798" s="3">
        <v>44636</v>
      </c>
      <c r="B798" s="4">
        <v>2022</v>
      </c>
      <c r="C798" s="5">
        <v>2370</v>
      </c>
      <c r="D798" s="5">
        <v>2410</v>
      </c>
      <c r="E798" s="5">
        <v>2270</v>
      </c>
      <c r="F798" s="5">
        <v>2390</v>
      </c>
      <c r="G798" s="5">
        <v>1986.13</v>
      </c>
      <c r="H798" s="6">
        <v>235835100</v>
      </c>
      <c r="I798" s="22" t="str">
        <f t="shared" si="83"/>
        <v>+</v>
      </c>
      <c r="J798" s="7">
        <f t="shared" si="84"/>
        <v>0.8438818565400843</v>
      </c>
      <c r="K798" s="7">
        <f t="shared" si="85"/>
        <v>38.161610965985545</v>
      </c>
      <c r="L798" s="2" t="str">
        <f t="shared" si="80"/>
        <v>Normal</v>
      </c>
      <c r="M798" s="2" t="str">
        <f t="shared" si="81"/>
        <v>Normal</v>
      </c>
      <c r="N798" s="2" t="str">
        <f t="shared" si="82"/>
        <v>No</v>
      </c>
    </row>
    <row r="799" spans="1:14" x14ac:dyDescent="0.25">
      <c r="A799" s="3">
        <v>44637</v>
      </c>
      <c r="B799" s="4">
        <v>2022</v>
      </c>
      <c r="C799" s="5">
        <v>2400</v>
      </c>
      <c r="D799" s="5">
        <v>2410</v>
      </c>
      <c r="E799" s="5">
        <v>2330</v>
      </c>
      <c r="F799" s="5">
        <v>2350</v>
      </c>
      <c r="G799" s="5">
        <v>1952.89</v>
      </c>
      <c r="H799" s="6">
        <v>153546800</v>
      </c>
      <c r="I799" s="22" t="str">
        <f t="shared" si="83"/>
        <v>-</v>
      </c>
      <c r="J799" s="7">
        <f t="shared" si="84"/>
        <v>-1.6736401673640167</v>
      </c>
      <c r="K799" s="7">
        <f t="shared" si="85"/>
        <v>-34.892303986980735</v>
      </c>
      <c r="L799" s="2" t="str">
        <f t="shared" si="80"/>
        <v>Normal</v>
      </c>
      <c r="M799" s="2" t="str">
        <f t="shared" si="81"/>
        <v>Normal</v>
      </c>
      <c r="N799" s="2" t="str">
        <f t="shared" si="82"/>
        <v>No</v>
      </c>
    </row>
    <row r="800" spans="1:14" x14ac:dyDescent="0.25">
      <c r="A800" s="3">
        <v>44638</v>
      </c>
      <c r="B800" s="4">
        <v>2022</v>
      </c>
      <c r="C800" s="5">
        <v>2350</v>
      </c>
      <c r="D800" s="5">
        <v>2400</v>
      </c>
      <c r="E800" s="5">
        <v>2320</v>
      </c>
      <c r="F800" s="5">
        <v>2390</v>
      </c>
      <c r="G800" s="5">
        <v>1986.13</v>
      </c>
      <c r="H800" s="6">
        <v>173667600</v>
      </c>
      <c r="I800" s="22" t="str">
        <f t="shared" si="83"/>
        <v>+</v>
      </c>
      <c r="J800" s="7">
        <f t="shared" si="84"/>
        <v>1.7021276595744681</v>
      </c>
      <c r="K800" s="7">
        <f t="shared" si="85"/>
        <v>13.10401779783102</v>
      </c>
      <c r="L800" s="2" t="str">
        <f t="shared" si="80"/>
        <v>Normal</v>
      </c>
      <c r="M800" s="2" t="str">
        <f t="shared" si="81"/>
        <v>Normal</v>
      </c>
      <c r="N800" s="2" t="str">
        <f t="shared" si="82"/>
        <v>No</v>
      </c>
    </row>
    <row r="801" spans="1:14" x14ac:dyDescent="0.25">
      <c r="A801" s="3">
        <v>44641</v>
      </c>
      <c r="B801" s="4">
        <v>2022</v>
      </c>
      <c r="C801" s="5">
        <v>2380</v>
      </c>
      <c r="D801" s="5">
        <v>2390</v>
      </c>
      <c r="E801" s="5">
        <v>2330</v>
      </c>
      <c r="F801" s="5">
        <v>2360</v>
      </c>
      <c r="G801" s="5">
        <v>1961.2</v>
      </c>
      <c r="H801" s="6">
        <v>92728200</v>
      </c>
      <c r="I801" s="22" t="str">
        <f t="shared" si="83"/>
        <v>-</v>
      </c>
      <c r="J801" s="7">
        <f t="shared" si="84"/>
        <v>-1.2552301255230125</v>
      </c>
      <c r="K801" s="7">
        <f t="shared" si="85"/>
        <v>-46.605929948936939</v>
      </c>
      <c r="L801" s="2" t="str">
        <f t="shared" si="80"/>
        <v>Normal</v>
      </c>
      <c r="M801" s="2" t="str">
        <f t="shared" si="81"/>
        <v>Normal</v>
      </c>
      <c r="N801" s="2" t="str">
        <f t="shared" si="82"/>
        <v>No</v>
      </c>
    </row>
    <row r="802" spans="1:14" x14ac:dyDescent="0.25">
      <c r="A802" s="3">
        <v>44642</v>
      </c>
      <c r="B802" s="4">
        <v>2022</v>
      </c>
      <c r="C802" s="5">
        <v>2380</v>
      </c>
      <c r="D802" s="5">
        <v>2560</v>
      </c>
      <c r="E802" s="5">
        <v>2370</v>
      </c>
      <c r="F802" s="5">
        <v>2550</v>
      </c>
      <c r="G802" s="5">
        <v>2119.09</v>
      </c>
      <c r="H802" s="6">
        <v>321561500</v>
      </c>
      <c r="I802" s="22" t="str">
        <f t="shared" si="83"/>
        <v>+</v>
      </c>
      <c r="J802" s="7">
        <f t="shared" si="84"/>
        <v>8.0508474576271176</v>
      </c>
      <c r="K802" s="7">
        <f t="shared" si="85"/>
        <v>246.77854201850141</v>
      </c>
      <c r="L802" s="2" t="str">
        <f t="shared" si="80"/>
        <v>Sharp Price Increase</v>
      </c>
      <c r="M802" s="2" t="str">
        <f t="shared" si="81"/>
        <v>Sharp Volume Increase</v>
      </c>
      <c r="N802" s="2" t="str">
        <f t="shared" si="82"/>
        <v>Yes</v>
      </c>
    </row>
    <row r="803" spans="1:14" x14ac:dyDescent="0.25">
      <c r="A803" s="3">
        <v>44643</v>
      </c>
      <c r="B803" s="4">
        <v>2022</v>
      </c>
      <c r="C803" s="5">
        <v>2550</v>
      </c>
      <c r="D803" s="5">
        <v>2560</v>
      </c>
      <c r="E803" s="5">
        <v>2460</v>
      </c>
      <c r="F803" s="5">
        <v>2500</v>
      </c>
      <c r="G803" s="5">
        <v>2077.54</v>
      </c>
      <c r="H803" s="6">
        <v>177608500</v>
      </c>
      <c r="I803" s="22" t="str">
        <f t="shared" si="83"/>
        <v>-</v>
      </c>
      <c r="J803" s="7">
        <f t="shared" si="84"/>
        <v>-1.9607843137254901</v>
      </c>
      <c r="K803" s="7">
        <f t="shared" si="85"/>
        <v>-44.766864192386215</v>
      </c>
      <c r="L803" s="2" t="str">
        <f t="shared" si="80"/>
        <v>Normal</v>
      </c>
      <c r="M803" s="2" t="str">
        <f t="shared" si="81"/>
        <v>Normal</v>
      </c>
      <c r="N803" s="2" t="str">
        <f t="shared" si="82"/>
        <v>No</v>
      </c>
    </row>
    <row r="804" spans="1:14" x14ac:dyDescent="0.25">
      <c r="A804" s="3">
        <v>44644</v>
      </c>
      <c r="B804" s="4">
        <v>2022</v>
      </c>
      <c r="C804" s="5">
        <v>2600</v>
      </c>
      <c r="D804" s="5">
        <v>2650</v>
      </c>
      <c r="E804" s="5">
        <v>2540</v>
      </c>
      <c r="F804" s="5">
        <v>2640</v>
      </c>
      <c r="G804" s="5">
        <v>2193.88</v>
      </c>
      <c r="H804" s="6">
        <v>269047800</v>
      </c>
      <c r="I804" s="22" t="str">
        <f t="shared" si="83"/>
        <v>+</v>
      </c>
      <c r="J804" s="7">
        <f t="shared" si="84"/>
        <v>5.6000000000000005</v>
      </c>
      <c r="K804" s="7">
        <f t="shared" si="85"/>
        <v>51.483628317338415</v>
      </c>
      <c r="L804" s="2" t="str">
        <f t="shared" si="80"/>
        <v>Sharp Price Increase</v>
      </c>
      <c r="M804" s="2" t="str">
        <f t="shared" si="81"/>
        <v>Normal</v>
      </c>
      <c r="N804" s="2" t="str">
        <f t="shared" si="82"/>
        <v>No</v>
      </c>
    </row>
    <row r="805" spans="1:14" x14ac:dyDescent="0.25">
      <c r="A805" s="3">
        <v>44645</v>
      </c>
      <c r="B805" s="4">
        <v>2022</v>
      </c>
      <c r="C805" s="5">
        <v>2660</v>
      </c>
      <c r="D805" s="5">
        <v>2690</v>
      </c>
      <c r="E805" s="5">
        <v>2610</v>
      </c>
      <c r="F805" s="5">
        <v>2660</v>
      </c>
      <c r="G805" s="5">
        <v>2210.5</v>
      </c>
      <c r="H805" s="6">
        <v>200436800</v>
      </c>
      <c r="I805" s="22" t="str">
        <f t="shared" si="83"/>
        <v>+</v>
      </c>
      <c r="J805" s="7">
        <f t="shared" si="84"/>
        <v>0.75757575757575757</v>
      </c>
      <c r="K805" s="7">
        <f t="shared" si="85"/>
        <v>-25.501416476923431</v>
      </c>
      <c r="L805" s="2" t="str">
        <f t="shared" si="80"/>
        <v>Normal</v>
      </c>
      <c r="M805" s="2" t="str">
        <f t="shared" si="81"/>
        <v>Normal</v>
      </c>
      <c r="N805" s="2" t="str">
        <f t="shared" si="82"/>
        <v>No</v>
      </c>
    </row>
    <row r="806" spans="1:14" x14ac:dyDescent="0.25">
      <c r="A806" s="3">
        <v>44648</v>
      </c>
      <c r="B806" s="4">
        <v>2022</v>
      </c>
      <c r="C806" s="5">
        <v>2650</v>
      </c>
      <c r="D806" s="5">
        <v>2660</v>
      </c>
      <c r="E806" s="5">
        <v>2590</v>
      </c>
      <c r="F806" s="5">
        <v>2630</v>
      </c>
      <c r="G806" s="5">
        <v>2185.5700000000002</v>
      </c>
      <c r="H806" s="6">
        <v>121087900</v>
      </c>
      <c r="I806" s="22" t="str">
        <f t="shared" si="83"/>
        <v>-</v>
      </c>
      <c r="J806" s="7">
        <f t="shared" si="84"/>
        <v>-1.1278195488721803</v>
      </c>
      <c r="K806" s="7">
        <f t="shared" si="85"/>
        <v>-39.587989830210816</v>
      </c>
      <c r="L806" s="2" t="str">
        <f t="shared" si="80"/>
        <v>Normal</v>
      </c>
      <c r="M806" s="2" t="str">
        <f t="shared" si="81"/>
        <v>Normal</v>
      </c>
      <c r="N806" s="2" t="str">
        <f t="shared" si="82"/>
        <v>No</v>
      </c>
    </row>
    <row r="807" spans="1:14" x14ac:dyDescent="0.25">
      <c r="A807" s="3">
        <v>44649</v>
      </c>
      <c r="B807" s="4">
        <v>2022</v>
      </c>
      <c r="C807" s="5">
        <v>2590</v>
      </c>
      <c r="D807" s="5">
        <v>2600</v>
      </c>
      <c r="E807" s="5">
        <v>2510</v>
      </c>
      <c r="F807" s="5">
        <v>2530</v>
      </c>
      <c r="G807" s="5">
        <v>2102.4699999999998</v>
      </c>
      <c r="H807" s="6">
        <v>144731100</v>
      </c>
      <c r="I807" s="22" t="str">
        <f t="shared" si="83"/>
        <v>-</v>
      </c>
      <c r="J807" s="7">
        <f t="shared" si="84"/>
        <v>-3.8022813688212929</v>
      </c>
      <c r="K807" s="7">
        <f t="shared" si="85"/>
        <v>19.525650374645195</v>
      </c>
      <c r="L807" s="2" t="str">
        <f t="shared" si="80"/>
        <v>Normal</v>
      </c>
      <c r="M807" s="2" t="str">
        <f t="shared" si="81"/>
        <v>Normal</v>
      </c>
      <c r="N807" s="2" t="str">
        <f t="shared" si="82"/>
        <v>No</v>
      </c>
    </row>
    <row r="808" spans="1:14" x14ac:dyDescent="0.25">
      <c r="A808" s="3">
        <v>44650</v>
      </c>
      <c r="B808" s="4">
        <v>2022</v>
      </c>
      <c r="C808" s="5">
        <v>2530</v>
      </c>
      <c r="D808" s="5">
        <v>2570</v>
      </c>
      <c r="E808" s="5">
        <v>2470</v>
      </c>
      <c r="F808" s="5">
        <v>2510</v>
      </c>
      <c r="G808" s="5">
        <v>2085.85</v>
      </c>
      <c r="H808" s="6">
        <v>131170000</v>
      </c>
      <c r="I808" s="22" t="str">
        <f t="shared" si="83"/>
        <v>-</v>
      </c>
      <c r="J808" s="7">
        <f t="shared" si="84"/>
        <v>-0.79051383399209485</v>
      </c>
      <c r="K808" s="7">
        <f t="shared" si="85"/>
        <v>-9.3698590005879865</v>
      </c>
      <c r="L808" s="2" t="str">
        <f t="shared" si="80"/>
        <v>Normal</v>
      </c>
      <c r="M808" s="2" t="str">
        <f t="shared" si="81"/>
        <v>Normal</v>
      </c>
      <c r="N808" s="2" t="str">
        <f t="shared" si="82"/>
        <v>No</v>
      </c>
    </row>
    <row r="809" spans="1:14" x14ac:dyDescent="0.25">
      <c r="A809" s="3">
        <v>44651</v>
      </c>
      <c r="B809" s="4">
        <v>2022</v>
      </c>
      <c r="C809" s="5">
        <v>2530</v>
      </c>
      <c r="D809" s="5">
        <v>2540</v>
      </c>
      <c r="E809" s="5">
        <v>2430</v>
      </c>
      <c r="F809" s="5">
        <v>2440</v>
      </c>
      <c r="G809" s="5">
        <v>2027.68</v>
      </c>
      <c r="H809" s="6">
        <v>97395700</v>
      </c>
      <c r="I809" s="22" t="str">
        <f t="shared" si="83"/>
        <v>-</v>
      </c>
      <c r="J809" s="7">
        <f t="shared" si="84"/>
        <v>-2.788844621513944</v>
      </c>
      <c r="K809" s="7">
        <f t="shared" si="85"/>
        <v>-25.748494320347643</v>
      </c>
      <c r="L809" s="2" t="str">
        <f t="shared" si="80"/>
        <v>Normal</v>
      </c>
      <c r="M809" s="2" t="str">
        <f t="shared" si="81"/>
        <v>Normal</v>
      </c>
      <c r="N809" s="2" t="str">
        <f t="shared" si="82"/>
        <v>No</v>
      </c>
    </row>
    <row r="810" spans="1:14" x14ac:dyDescent="0.25">
      <c r="A810" s="3">
        <v>44652</v>
      </c>
      <c r="B810" s="4">
        <v>2022</v>
      </c>
      <c r="C810" s="5">
        <v>2450</v>
      </c>
      <c r="D810" s="5">
        <v>2550</v>
      </c>
      <c r="E810" s="5">
        <v>2420</v>
      </c>
      <c r="F810" s="5">
        <v>2510</v>
      </c>
      <c r="G810" s="5">
        <v>2085.85</v>
      </c>
      <c r="H810" s="6">
        <v>107947200</v>
      </c>
      <c r="I810" s="22" t="str">
        <f t="shared" si="83"/>
        <v>+</v>
      </c>
      <c r="J810" s="7">
        <f t="shared" si="84"/>
        <v>2.8688524590163933</v>
      </c>
      <c r="K810" s="7">
        <f t="shared" si="85"/>
        <v>10.83364049952924</v>
      </c>
      <c r="L810" s="2" t="str">
        <f t="shared" si="80"/>
        <v>Normal</v>
      </c>
      <c r="M810" s="2" t="str">
        <f t="shared" si="81"/>
        <v>Normal</v>
      </c>
      <c r="N810" s="2" t="str">
        <f t="shared" si="82"/>
        <v>No</v>
      </c>
    </row>
    <row r="811" spans="1:14" x14ac:dyDescent="0.25">
      <c r="A811" s="3">
        <v>44655</v>
      </c>
      <c r="B811" s="4">
        <v>2022</v>
      </c>
      <c r="C811" s="5">
        <v>2530</v>
      </c>
      <c r="D811" s="5">
        <v>2650</v>
      </c>
      <c r="E811" s="5">
        <v>2520</v>
      </c>
      <c r="F811" s="5">
        <v>2640</v>
      </c>
      <c r="G811" s="5">
        <v>2193.88</v>
      </c>
      <c r="H811" s="6">
        <v>138741900</v>
      </c>
      <c r="I811" s="22" t="str">
        <f t="shared" si="83"/>
        <v>+</v>
      </c>
      <c r="J811" s="7">
        <f t="shared" si="84"/>
        <v>5.1792828685258963</v>
      </c>
      <c r="K811" s="7">
        <f t="shared" si="85"/>
        <v>28.527557917203968</v>
      </c>
      <c r="L811" s="2" t="str">
        <f t="shared" si="80"/>
        <v>Normal</v>
      </c>
      <c r="M811" s="2" t="str">
        <f t="shared" si="81"/>
        <v>Normal</v>
      </c>
      <c r="N811" s="2" t="str">
        <f t="shared" si="82"/>
        <v>No</v>
      </c>
    </row>
    <row r="812" spans="1:14" x14ac:dyDescent="0.25">
      <c r="A812" s="3">
        <v>44656</v>
      </c>
      <c r="B812" s="4">
        <v>2022</v>
      </c>
      <c r="C812" s="5">
        <v>2630</v>
      </c>
      <c r="D812" s="5">
        <v>2700</v>
      </c>
      <c r="E812" s="5">
        <v>2610</v>
      </c>
      <c r="F812" s="5">
        <v>2670</v>
      </c>
      <c r="G812" s="5">
        <v>2218.81</v>
      </c>
      <c r="H812" s="6">
        <v>141698900</v>
      </c>
      <c r="I812" s="22" t="str">
        <f t="shared" si="83"/>
        <v>+</v>
      </c>
      <c r="J812" s="7">
        <f t="shared" si="84"/>
        <v>1.1363636363636365</v>
      </c>
      <c r="K812" s="7">
        <f t="shared" si="85"/>
        <v>2.1312955927517212</v>
      </c>
      <c r="L812" s="2" t="str">
        <f t="shared" si="80"/>
        <v>Normal</v>
      </c>
      <c r="M812" s="2" t="str">
        <f t="shared" si="81"/>
        <v>Normal</v>
      </c>
      <c r="N812" s="2" t="str">
        <f t="shared" si="82"/>
        <v>No</v>
      </c>
    </row>
    <row r="813" spans="1:14" x14ac:dyDescent="0.25">
      <c r="A813" s="3">
        <v>44657</v>
      </c>
      <c r="B813" s="4">
        <v>2022</v>
      </c>
      <c r="C813" s="5">
        <v>2670</v>
      </c>
      <c r="D813" s="5">
        <v>2690</v>
      </c>
      <c r="E813" s="5">
        <v>2640</v>
      </c>
      <c r="F813" s="5">
        <v>2650</v>
      </c>
      <c r="G813" s="5">
        <v>2202.19</v>
      </c>
      <c r="H813" s="6">
        <v>98442600</v>
      </c>
      <c r="I813" s="22" t="str">
        <f t="shared" si="83"/>
        <v>-</v>
      </c>
      <c r="J813" s="7">
        <f t="shared" si="84"/>
        <v>-0.74906367041198507</v>
      </c>
      <c r="K813" s="7">
        <f t="shared" si="85"/>
        <v>-30.526913052959483</v>
      </c>
      <c r="L813" s="2" t="str">
        <f t="shared" si="80"/>
        <v>Normal</v>
      </c>
      <c r="M813" s="2" t="str">
        <f t="shared" si="81"/>
        <v>Normal</v>
      </c>
      <c r="N813" s="2" t="str">
        <f t="shared" si="82"/>
        <v>No</v>
      </c>
    </row>
    <row r="814" spans="1:14" x14ac:dyDescent="0.25">
      <c r="A814" s="3">
        <v>44658</v>
      </c>
      <c r="B814" s="4">
        <v>2022</v>
      </c>
      <c r="C814" s="5">
        <v>2670</v>
      </c>
      <c r="D814" s="5">
        <v>2820</v>
      </c>
      <c r="E814" s="5">
        <v>2660</v>
      </c>
      <c r="F814" s="5">
        <v>2760</v>
      </c>
      <c r="G814" s="5">
        <v>2293.61</v>
      </c>
      <c r="H814" s="6">
        <v>286617900</v>
      </c>
      <c r="I814" s="22" t="str">
        <f t="shared" si="83"/>
        <v>+</v>
      </c>
      <c r="J814" s="7">
        <f t="shared" si="84"/>
        <v>4.1509433962264151</v>
      </c>
      <c r="K814" s="7">
        <f t="shared" si="85"/>
        <v>191.15230601385986</v>
      </c>
      <c r="L814" s="2" t="str">
        <f t="shared" si="80"/>
        <v>Normal</v>
      </c>
      <c r="M814" s="2" t="str">
        <f t="shared" si="81"/>
        <v>Sharp Volume Increase</v>
      </c>
      <c r="N814" s="2" t="str">
        <f t="shared" si="82"/>
        <v>No</v>
      </c>
    </row>
    <row r="815" spans="1:14" x14ac:dyDescent="0.25">
      <c r="A815" s="3">
        <v>44659</v>
      </c>
      <c r="B815" s="4">
        <v>2022</v>
      </c>
      <c r="C815" s="5">
        <v>2790</v>
      </c>
      <c r="D815" s="5">
        <v>2820</v>
      </c>
      <c r="E815" s="5">
        <v>2740</v>
      </c>
      <c r="F815" s="5">
        <v>2800</v>
      </c>
      <c r="G815" s="5">
        <v>2326.85</v>
      </c>
      <c r="H815" s="6">
        <v>189362100</v>
      </c>
      <c r="I815" s="22" t="str">
        <f t="shared" si="83"/>
        <v>+</v>
      </c>
      <c r="J815" s="7">
        <f t="shared" si="84"/>
        <v>1.4492753623188406</v>
      </c>
      <c r="K815" s="7">
        <f t="shared" si="85"/>
        <v>-33.932214282499451</v>
      </c>
      <c r="L815" s="2" t="str">
        <f t="shared" si="80"/>
        <v>Normal</v>
      </c>
      <c r="M815" s="2" t="str">
        <f t="shared" si="81"/>
        <v>Normal</v>
      </c>
      <c r="N815" s="2" t="str">
        <f t="shared" si="82"/>
        <v>No</v>
      </c>
    </row>
    <row r="816" spans="1:14" x14ac:dyDescent="0.25">
      <c r="A816" s="3">
        <v>44662</v>
      </c>
      <c r="B816" s="4">
        <v>2022</v>
      </c>
      <c r="C816" s="5">
        <v>2800</v>
      </c>
      <c r="D816" s="5">
        <v>2810</v>
      </c>
      <c r="E816" s="5">
        <v>2630</v>
      </c>
      <c r="F816" s="5">
        <v>2630</v>
      </c>
      <c r="G816" s="5">
        <v>2185.5700000000002</v>
      </c>
      <c r="H816" s="6">
        <v>163864600</v>
      </c>
      <c r="I816" s="22" t="str">
        <f t="shared" si="83"/>
        <v>-</v>
      </c>
      <c r="J816" s="7">
        <f t="shared" si="84"/>
        <v>-6.0714285714285712</v>
      </c>
      <c r="K816" s="7">
        <f t="shared" si="85"/>
        <v>-13.464943618601611</v>
      </c>
      <c r="L816" s="2" t="str">
        <f t="shared" si="80"/>
        <v>Sharp Price Decrease</v>
      </c>
      <c r="M816" s="2" t="str">
        <f t="shared" si="81"/>
        <v>Normal</v>
      </c>
      <c r="N816" s="2" t="str">
        <f t="shared" si="82"/>
        <v>No</v>
      </c>
    </row>
    <row r="817" spans="1:14" x14ac:dyDescent="0.25">
      <c r="A817" s="3">
        <v>44663</v>
      </c>
      <c r="B817" s="4">
        <v>2022</v>
      </c>
      <c r="C817" s="5">
        <v>2620</v>
      </c>
      <c r="D817" s="5">
        <v>2680</v>
      </c>
      <c r="E817" s="5">
        <v>2580</v>
      </c>
      <c r="F817" s="5">
        <v>2670</v>
      </c>
      <c r="G817" s="5">
        <v>2218.81</v>
      </c>
      <c r="H817" s="6">
        <v>88390900</v>
      </c>
      <c r="I817" s="22" t="str">
        <f t="shared" si="83"/>
        <v>+</v>
      </c>
      <c r="J817" s="7">
        <f t="shared" si="84"/>
        <v>1.520912547528517</v>
      </c>
      <c r="K817" s="7">
        <f t="shared" si="85"/>
        <v>-46.058575189516219</v>
      </c>
      <c r="L817" s="2" t="str">
        <f t="shared" si="80"/>
        <v>Normal</v>
      </c>
      <c r="M817" s="2" t="str">
        <f t="shared" si="81"/>
        <v>Normal</v>
      </c>
      <c r="N817" s="2" t="str">
        <f t="shared" si="82"/>
        <v>No</v>
      </c>
    </row>
    <row r="818" spans="1:14" x14ac:dyDescent="0.25">
      <c r="A818" s="3">
        <v>44664</v>
      </c>
      <c r="B818" s="4">
        <v>2022</v>
      </c>
      <c r="C818" s="5">
        <v>2690</v>
      </c>
      <c r="D818" s="5">
        <v>2800</v>
      </c>
      <c r="E818" s="5">
        <v>2670</v>
      </c>
      <c r="F818" s="5">
        <v>2790</v>
      </c>
      <c r="G818" s="5">
        <v>2318.54</v>
      </c>
      <c r="H818" s="6">
        <v>143822800</v>
      </c>
      <c r="I818" s="22" t="str">
        <f t="shared" si="83"/>
        <v>+</v>
      </c>
      <c r="J818" s="7">
        <f t="shared" si="84"/>
        <v>4.4943820224719104</v>
      </c>
      <c r="K818" s="7">
        <f t="shared" si="85"/>
        <v>62.712224900979628</v>
      </c>
      <c r="L818" s="2" t="str">
        <f t="shared" si="80"/>
        <v>Normal</v>
      </c>
      <c r="M818" s="2" t="str">
        <f t="shared" si="81"/>
        <v>Normal</v>
      </c>
      <c r="N818" s="2" t="str">
        <f t="shared" si="82"/>
        <v>No</v>
      </c>
    </row>
    <row r="819" spans="1:14" x14ac:dyDescent="0.25">
      <c r="A819" s="3">
        <v>44665</v>
      </c>
      <c r="B819" s="4">
        <v>2022</v>
      </c>
      <c r="C819" s="5">
        <v>2790</v>
      </c>
      <c r="D819" s="5">
        <v>2870</v>
      </c>
      <c r="E819" s="5">
        <v>2750</v>
      </c>
      <c r="F819" s="5">
        <v>2780</v>
      </c>
      <c r="G819" s="5">
        <v>2310.23</v>
      </c>
      <c r="H819" s="6">
        <v>201698200</v>
      </c>
      <c r="I819" s="22" t="str">
        <f t="shared" si="83"/>
        <v>-</v>
      </c>
      <c r="J819" s="7">
        <f t="shared" si="84"/>
        <v>-0.35842293906810035</v>
      </c>
      <c r="K819" s="7">
        <f t="shared" si="85"/>
        <v>40.240768501239025</v>
      </c>
      <c r="L819" s="2" t="str">
        <f t="shared" si="80"/>
        <v>Normal</v>
      </c>
      <c r="M819" s="2" t="str">
        <f t="shared" si="81"/>
        <v>Normal</v>
      </c>
      <c r="N819" s="2" t="str">
        <f t="shared" si="82"/>
        <v>No</v>
      </c>
    </row>
    <row r="820" spans="1:14" x14ac:dyDescent="0.25">
      <c r="A820" s="3">
        <v>44669</v>
      </c>
      <c r="B820" s="4">
        <v>2022</v>
      </c>
      <c r="C820" s="5">
        <v>2800</v>
      </c>
      <c r="D820" s="5">
        <v>2930</v>
      </c>
      <c r="E820" s="5">
        <v>2790</v>
      </c>
      <c r="F820" s="5">
        <v>2900</v>
      </c>
      <c r="G820" s="5">
        <v>2409.9499999999998</v>
      </c>
      <c r="H820" s="6">
        <v>190855400</v>
      </c>
      <c r="I820" s="22" t="str">
        <f t="shared" si="83"/>
        <v>+</v>
      </c>
      <c r="J820" s="7">
        <f t="shared" si="84"/>
        <v>4.3165467625899279</v>
      </c>
      <c r="K820" s="7">
        <f t="shared" si="85"/>
        <v>-5.3757544688053738</v>
      </c>
      <c r="L820" s="2" t="str">
        <f t="shared" si="80"/>
        <v>Normal</v>
      </c>
      <c r="M820" s="2" t="str">
        <f t="shared" si="81"/>
        <v>Normal</v>
      </c>
      <c r="N820" s="2" t="str">
        <f t="shared" si="82"/>
        <v>No</v>
      </c>
    </row>
    <row r="821" spans="1:14" x14ac:dyDescent="0.25">
      <c r="A821" s="3">
        <v>44670</v>
      </c>
      <c r="B821" s="4">
        <v>2022</v>
      </c>
      <c r="C821" s="5">
        <v>2910</v>
      </c>
      <c r="D821" s="5">
        <v>2940</v>
      </c>
      <c r="E821" s="5">
        <v>2830</v>
      </c>
      <c r="F821" s="5">
        <v>2850</v>
      </c>
      <c r="G821" s="5">
        <v>2368.4</v>
      </c>
      <c r="H821" s="6">
        <v>190460400</v>
      </c>
      <c r="I821" s="22" t="str">
        <f t="shared" si="83"/>
        <v>-</v>
      </c>
      <c r="J821" s="7">
        <f t="shared" si="84"/>
        <v>-1.7241379310344827</v>
      </c>
      <c r="K821" s="7">
        <f t="shared" si="85"/>
        <v>-0.20696296777560397</v>
      </c>
      <c r="L821" s="2" t="str">
        <f t="shared" si="80"/>
        <v>Normal</v>
      </c>
      <c r="M821" s="2" t="str">
        <f t="shared" si="81"/>
        <v>Normal</v>
      </c>
      <c r="N821" s="2" t="str">
        <f t="shared" si="82"/>
        <v>No</v>
      </c>
    </row>
    <row r="822" spans="1:14" x14ac:dyDescent="0.25">
      <c r="A822" s="3">
        <v>44671</v>
      </c>
      <c r="B822" s="4">
        <v>2022</v>
      </c>
      <c r="C822" s="5">
        <v>2880</v>
      </c>
      <c r="D822" s="5">
        <v>2880</v>
      </c>
      <c r="E822" s="5">
        <v>2740</v>
      </c>
      <c r="F822" s="5">
        <v>2820</v>
      </c>
      <c r="G822" s="5">
        <v>2343.4699999999998</v>
      </c>
      <c r="H822" s="6">
        <v>137086000</v>
      </c>
      <c r="I822" s="22" t="str">
        <f t="shared" si="83"/>
        <v>-</v>
      </c>
      <c r="J822" s="7">
        <f t="shared" si="84"/>
        <v>-1.0526315789473684</v>
      </c>
      <c r="K822" s="7">
        <f t="shared" si="85"/>
        <v>-28.023883179915615</v>
      </c>
      <c r="L822" s="2" t="str">
        <f t="shared" si="80"/>
        <v>Normal</v>
      </c>
      <c r="M822" s="2" t="str">
        <f t="shared" si="81"/>
        <v>Normal</v>
      </c>
      <c r="N822" s="2" t="str">
        <f t="shared" si="82"/>
        <v>No</v>
      </c>
    </row>
    <row r="823" spans="1:14" x14ac:dyDescent="0.25">
      <c r="A823" s="3">
        <v>44672</v>
      </c>
      <c r="B823" s="4">
        <v>2022</v>
      </c>
      <c r="C823" s="5">
        <v>2830</v>
      </c>
      <c r="D823" s="5">
        <v>2840</v>
      </c>
      <c r="E823" s="5">
        <v>2760</v>
      </c>
      <c r="F823" s="5">
        <v>2790</v>
      </c>
      <c r="G823" s="5">
        <v>2318.54</v>
      </c>
      <c r="H823" s="6">
        <v>69884500</v>
      </c>
      <c r="I823" s="22" t="str">
        <f t="shared" si="83"/>
        <v>-</v>
      </c>
      <c r="J823" s="7">
        <f t="shared" si="84"/>
        <v>-1.0638297872340425</v>
      </c>
      <c r="K823" s="7">
        <f t="shared" si="85"/>
        <v>-49.021417212552706</v>
      </c>
      <c r="L823" s="2" t="str">
        <f t="shared" si="80"/>
        <v>Normal</v>
      </c>
      <c r="M823" s="2" t="str">
        <f t="shared" si="81"/>
        <v>Normal</v>
      </c>
      <c r="N823" s="2" t="str">
        <f t="shared" si="82"/>
        <v>No</v>
      </c>
    </row>
    <row r="824" spans="1:14" x14ac:dyDescent="0.25">
      <c r="A824" s="3">
        <v>44673</v>
      </c>
      <c r="B824" s="4">
        <v>2022</v>
      </c>
      <c r="C824" s="5">
        <v>2770</v>
      </c>
      <c r="D824" s="5">
        <v>2810</v>
      </c>
      <c r="E824" s="5">
        <v>2740</v>
      </c>
      <c r="F824" s="5">
        <v>2740</v>
      </c>
      <c r="G824" s="5">
        <v>2276.9899999999998</v>
      </c>
      <c r="H824" s="6">
        <v>82088900</v>
      </c>
      <c r="I824" s="22" t="str">
        <f t="shared" si="83"/>
        <v>-</v>
      </c>
      <c r="J824" s="7">
        <f t="shared" si="84"/>
        <v>-1.7921146953405016</v>
      </c>
      <c r="K824" s="7">
        <f t="shared" si="85"/>
        <v>17.463672201990427</v>
      </c>
      <c r="L824" s="2" t="str">
        <f t="shared" si="80"/>
        <v>Normal</v>
      </c>
      <c r="M824" s="2" t="str">
        <f t="shared" si="81"/>
        <v>Normal</v>
      </c>
      <c r="N824" s="2" t="str">
        <f t="shared" si="82"/>
        <v>No</v>
      </c>
    </row>
    <row r="825" spans="1:14" x14ac:dyDescent="0.25">
      <c r="A825" s="3">
        <v>44676</v>
      </c>
      <c r="B825" s="4">
        <v>2022</v>
      </c>
      <c r="C825" s="5">
        <v>2690</v>
      </c>
      <c r="D825" s="5">
        <v>2700</v>
      </c>
      <c r="E825" s="5">
        <v>2600</v>
      </c>
      <c r="F825" s="5">
        <v>2620</v>
      </c>
      <c r="G825" s="5">
        <v>2177.2600000000002</v>
      </c>
      <c r="H825" s="6">
        <v>171951100</v>
      </c>
      <c r="I825" s="22" t="str">
        <f t="shared" si="83"/>
        <v>-</v>
      </c>
      <c r="J825" s="7">
        <f t="shared" si="84"/>
        <v>-4.3795620437956204</v>
      </c>
      <c r="K825" s="7">
        <f t="shared" si="85"/>
        <v>109.46936796570547</v>
      </c>
      <c r="L825" s="2" t="str">
        <f t="shared" si="80"/>
        <v>Sharp Price Decrease</v>
      </c>
      <c r="M825" s="2" t="str">
        <f t="shared" si="81"/>
        <v>Normal</v>
      </c>
      <c r="N825" s="2" t="str">
        <f t="shared" si="82"/>
        <v>No</v>
      </c>
    </row>
    <row r="826" spans="1:14" x14ac:dyDescent="0.25">
      <c r="A826" s="3">
        <v>44677</v>
      </c>
      <c r="B826" s="4">
        <v>2022</v>
      </c>
      <c r="C826" s="5">
        <v>2630</v>
      </c>
      <c r="D826" s="5">
        <v>2640</v>
      </c>
      <c r="E826" s="5">
        <v>2450</v>
      </c>
      <c r="F826" s="5">
        <v>2500</v>
      </c>
      <c r="G826" s="5">
        <v>2077.54</v>
      </c>
      <c r="H826" s="6">
        <v>229686600</v>
      </c>
      <c r="I826" s="22" t="str">
        <f t="shared" si="83"/>
        <v>-</v>
      </c>
      <c r="J826" s="7">
        <f t="shared" si="84"/>
        <v>-4.5801526717557248</v>
      </c>
      <c r="K826" s="7">
        <f t="shared" si="85"/>
        <v>33.576697095860389</v>
      </c>
      <c r="L826" s="2" t="str">
        <f t="shared" si="80"/>
        <v>Sharp Price Decrease</v>
      </c>
      <c r="M826" s="2" t="str">
        <f t="shared" si="81"/>
        <v>Normal</v>
      </c>
      <c r="N826" s="2" t="str">
        <f t="shared" si="82"/>
        <v>No</v>
      </c>
    </row>
    <row r="827" spans="1:14" x14ac:dyDescent="0.25">
      <c r="A827" s="3">
        <v>44678</v>
      </c>
      <c r="B827" s="4">
        <v>2022</v>
      </c>
      <c r="C827" s="5">
        <v>2500</v>
      </c>
      <c r="D827" s="5">
        <v>2610</v>
      </c>
      <c r="E827" s="5">
        <v>2500</v>
      </c>
      <c r="F827" s="5">
        <v>2560</v>
      </c>
      <c r="G827" s="5">
        <v>2127.4</v>
      </c>
      <c r="H827" s="6">
        <v>161589400</v>
      </c>
      <c r="I827" s="22" t="str">
        <f t="shared" si="83"/>
        <v>+</v>
      </c>
      <c r="J827" s="7">
        <f t="shared" si="84"/>
        <v>2.4</v>
      </c>
      <c r="K827" s="7">
        <f t="shared" si="85"/>
        <v>-29.647876715489712</v>
      </c>
      <c r="L827" s="2" t="str">
        <f t="shared" si="80"/>
        <v>Normal</v>
      </c>
      <c r="M827" s="2" t="str">
        <f t="shared" si="81"/>
        <v>Normal</v>
      </c>
      <c r="N827" s="2" t="str">
        <f t="shared" si="82"/>
        <v>No</v>
      </c>
    </row>
    <row r="828" spans="1:14" x14ac:dyDescent="0.25">
      <c r="A828" s="3">
        <v>44679</v>
      </c>
      <c r="B828" s="4">
        <v>2022</v>
      </c>
      <c r="C828" s="5">
        <v>2580</v>
      </c>
      <c r="D828" s="5">
        <v>2650</v>
      </c>
      <c r="E828" s="5">
        <v>2570</v>
      </c>
      <c r="F828" s="5">
        <v>2600</v>
      </c>
      <c r="G828" s="5">
        <v>2160.64</v>
      </c>
      <c r="H828" s="6">
        <v>115518800</v>
      </c>
      <c r="I828" s="22" t="str">
        <f t="shared" si="83"/>
        <v>+</v>
      </c>
      <c r="J828" s="7">
        <f t="shared" si="84"/>
        <v>1.5625</v>
      </c>
      <c r="K828" s="7">
        <f t="shared" si="85"/>
        <v>-28.510904799448479</v>
      </c>
      <c r="L828" s="2" t="str">
        <f t="shared" si="80"/>
        <v>Normal</v>
      </c>
      <c r="M828" s="2" t="str">
        <f t="shared" si="81"/>
        <v>Normal</v>
      </c>
      <c r="N828" s="2" t="str">
        <f t="shared" si="82"/>
        <v>No</v>
      </c>
    </row>
    <row r="829" spans="1:14" x14ac:dyDescent="0.25">
      <c r="A829" s="3">
        <v>44690</v>
      </c>
      <c r="B829" s="4">
        <v>2022</v>
      </c>
      <c r="C829" s="5">
        <v>2500</v>
      </c>
      <c r="D829" s="5">
        <v>2550</v>
      </c>
      <c r="E829" s="5">
        <v>2460</v>
      </c>
      <c r="F829" s="5">
        <v>2530</v>
      </c>
      <c r="G829" s="5">
        <v>2102.4699999999998</v>
      </c>
      <c r="H829" s="6">
        <v>165439100</v>
      </c>
      <c r="I829" s="22" t="str">
        <f t="shared" si="83"/>
        <v>-</v>
      </c>
      <c r="J829" s="7">
        <f t="shared" si="84"/>
        <v>-2.6923076923076925</v>
      </c>
      <c r="K829" s="7">
        <f t="shared" si="85"/>
        <v>43.214004993126657</v>
      </c>
      <c r="L829" s="2" t="str">
        <f t="shared" si="80"/>
        <v>Normal</v>
      </c>
      <c r="M829" s="2" t="str">
        <f t="shared" si="81"/>
        <v>Normal</v>
      </c>
      <c r="N829" s="2" t="str">
        <f t="shared" si="82"/>
        <v>No</v>
      </c>
    </row>
    <row r="830" spans="1:14" x14ac:dyDescent="0.25">
      <c r="A830" s="3">
        <v>44691</v>
      </c>
      <c r="B830" s="4">
        <v>2022</v>
      </c>
      <c r="C830" s="5">
        <v>2470</v>
      </c>
      <c r="D830" s="5">
        <v>2490</v>
      </c>
      <c r="E830" s="5">
        <v>2360</v>
      </c>
      <c r="F830" s="5">
        <v>2420</v>
      </c>
      <c r="G830" s="5">
        <v>2011.06</v>
      </c>
      <c r="H830" s="6">
        <v>146403900</v>
      </c>
      <c r="I830" s="22" t="str">
        <f t="shared" si="83"/>
        <v>-</v>
      </c>
      <c r="J830" s="7">
        <f t="shared" si="84"/>
        <v>-4.3478260869565215</v>
      </c>
      <c r="K830" s="7">
        <f t="shared" si="85"/>
        <v>-11.505865300282704</v>
      </c>
      <c r="L830" s="2" t="str">
        <f t="shared" si="80"/>
        <v>Sharp Price Decrease</v>
      </c>
      <c r="M830" s="2" t="str">
        <f t="shared" si="81"/>
        <v>Normal</v>
      </c>
      <c r="N830" s="2" t="str">
        <f t="shared" si="82"/>
        <v>No</v>
      </c>
    </row>
    <row r="831" spans="1:14" x14ac:dyDescent="0.25">
      <c r="A831" s="3">
        <v>44692</v>
      </c>
      <c r="B831" s="4">
        <v>2022</v>
      </c>
      <c r="C831" s="5">
        <v>2420</v>
      </c>
      <c r="D831" s="5">
        <v>2530</v>
      </c>
      <c r="E831" s="5">
        <v>2400</v>
      </c>
      <c r="F831" s="5">
        <v>2400</v>
      </c>
      <c r="G831" s="5">
        <v>1994.44</v>
      </c>
      <c r="H831" s="6">
        <v>110097300</v>
      </c>
      <c r="I831" s="22" t="str">
        <f t="shared" si="83"/>
        <v>-</v>
      </c>
      <c r="J831" s="7">
        <f t="shared" si="84"/>
        <v>-0.82644628099173556</v>
      </c>
      <c r="K831" s="7">
        <f t="shared" si="85"/>
        <v>-24.79892953671316</v>
      </c>
      <c r="L831" s="2" t="str">
        <f t="shared" si="80"/>
        <v>Normal</v>
      </c>
      <c r="M831" s="2" t="str">
        <f t="shared" si="81"/>
        <v>Normal</v>
      </c>
      <c r="N831" s="2" t="str">
        <f t="shared" si="82"/>
        <v>No</v>
      </c>
    </row>
    <row r="832" spans="1:14" x14ac:dyDescent="0.25">
      <c r="A832" s="3">
        <v>44693</v>
      </c>
      <c r="B832" s="4">
        <v>2022</v>
      </c>
      <c r="C832" s="5">
        <v>2400</v>
      </c>
      <c r="D832" s="5">
        <v>2460</v>
      </c>
      <c r="E832" s="5">
        <v>2290</v>
      </c>
      <c r="F832" s="5">
        <v>2330</v>
      </c>
      <c r="G832" s="5">
        <v>1936.27</v>
      </c>
      <c r="H832" s="6">
        <v>183788200</v>
      </c>
      <c r="I832" s="22" t="str">
        <f t="shared" si="83"/>
        <v>-</v>
      </c>
      <c r="J832" s="7">
        <f t="shared" si="84"/>
        <v>-2.9166666666666665</v>
      </c>
      <c r="K832" s="7">
        <f t="shared" si="85"/>
        <v>66.932522414264469</v>
      </c>
      <c r="L832" s="2" t="str">
        <f t="shared" si="80"/>
        <v>Normal</v>
      </c>
      <c r="M832" s="2" t="str">
        <f t="shared" si="81"/>
        <v>Normal</v>
      </c>
      <c r="N832" s="2" t="str">
        <f t="shared" si="82"/>
        <v>No</v>
      </c>
    </row>
    <row r="833" spans="1:14" x14ac:dyDescent="0.25">
      <c r="A833" s="3">
        <v>44694</v>
      </c>
      <c r="B833" s="4">
        <v>2022</v>
      </c>
      <c r="C833" s="5">
        <v>2360</v>
      </c>
      <c r="D833" s="5">
        <v>2380</v>
      </c>
      <c r="E833" s="5">
        <v>2300</v>
      </c>
      <c r="F833" s="5">
        <v>2330</v>
      </c>
      <c r="G833" s="5">
        <v>1936.27</v>
      </c>
      <c r="H833" s="6">
        <v>81842400</v>
      </c>
      <c r="I833" s="22" t="str">
        <f t="shared" si="83"/>
        <v>0</v>
      </c>
      <c r="J833" s="7">
        <f t="shared" si="84"/>
        <v>0</v>
      </c>
      <c r="K833" s="7">
        <f t="shared" si="85"/>
        <v>-55.46917593186069</v>
      </c>
      <c r="L833" s="2" t="str">
        <f t="shared" si="80"/>
        <v>Normal</v>
      </c>
      <c r="M833" s="2" t="str">
        <f t="shared" si="81"/>
        <v>Normal</v>
      </c>
      <c r="N833" s="2" t="str">
        <f t="shared" si="82"/>
        <v>No</v>
      </c>
    </row>
    <row r="834" spans="1:14" x14ac:dyDescent="0.25">
      <c r="A834" s="3">
        <v>44698</v>
      </c>
      <c r="B834" s="4">
        <v>2022</v>
      </c>
      <c r="C834" s="5">
        <v>2350</v>
      </c>
      <c r="D834" s="5">
        <v>2410</v>
      </c>
      <c r="E834" s="5">
        <v>2340</v>
      </c>
      <c r="F834" s="5">
        <v>2390</v>
      </c>
      <c r="G834" s="5">
        <v>1986.13</v>
      </c>
      <c r="H834" s="6">
        <v>94097400</v>
      </c>
      <c r="I834" s="22" t="str">
        <f t="shared" si="83"/>
        <v>+</v>
      </c>
      <c r="J834" s="7">
        <f t="shared" si="84"/>
        <v>2.5751072961373391</v>
      </c>
      <c r="K834" s="7">
        <f t="shared" si="85"/>
        <v>14.973901058619981</v>
      </c>
      <c r="L834" s="2" t="str">
        <f t="shared" si="80"/>
        <v>Normal</v>
      </c>
      <c r="M834" s="2" t="str">
        <f t="shared" si="81"/>
        <v>Normal</v>
      </c>
      <c r="N834" s="2" t="str">
        <f t="shared" si="82"/>
        <v>No</v>
      </c>
    </row>
    <row r="835" spans="1:14" x14ac:dyDescent="0.25">
      <c r="A835" s="3">
        <v>44699</v>
      </c>
      <c r="B835" s="4">
        <v>2022</v>
      </c>
      <c r="C835" s="5">
        <v>2420</v>
      </c>
      <c r="D835" s="5">
        <v>2420</v>
      </c>
      <c r="E835" s="5">
        <v>2360</v>
      </c>
      <c r="F835" s="5">
        <v>2400</v>
      </c>
      <c r="G835" s="5">
        <v>1994.44</v>
      </c>
      <c r="H835" s="6">
        <v>79223300</v>
      </c>
      <c r="I835" s="22" t="str">
        <f t="shared" si="83"/>
        <v>+</v>
      </c>
      <c r="J835" s="7">
        <f t="shared" si="84"/>
        <v>0.41841004184100417</v>
      </c>
      <c r="K835" s="7">
        <f t="shared" si="85"/>
        <v>-15.807131759219702</v>
      </c>
      <c r="L835" s="2" t="str">
        <f t="shared" ref="L835:L898" si="86">IFERROR(IF(OR(J835="",ISBLANK(J835)),"Normal",IF(J835&lt;=$U$6,"Sharp Price Decrease",IF(J835&gt;=$U$7,"Sharp Price Increase","Normal"))),"Normal")</f>
        <v>Normal</v>
      </c>
      <c r="M835" s="2" t="str">
        <f t="shared" ref="M835:M898" si="87">IFERROR(IF(OR(K835="",ISBLANK(K835)),"Normal",IF(K835&lt;=$U$8,"Sharp Volume Decrease",IF(K835&gt;=$U$9,"Sharp Volume Increase","Normal"))),"Normal")</f>
        <v>Normal</v>
      </c>
      <c r="N835" s="2" t="str">
        <f t="shared" ref="N835:N898" si="88">IFERROR(IF(AND(OR(L835="Sharp Price Increase",L835="Sharp Price Decrease"),OR(M835="Sharp Volume Increase",M835="Sharp Volume Decrease")),"Yes","No"),"No")</f>
        <v>No</v>
      </c>
    </row>
    <row r="836" spans="1:14" x14ac:dyDescent="0.25">
      <c r="A836" s="3">
        <v>44700</v>
      </c>
      <c r="B836" s="4">
        <v>2022</v>
      </c>
      <c r="C836" s="5">
        <v>2380</v>
      </c>
      <c r="D836" s="5">
        <v>2490</v>
      </c>
      <c r="E836" s="5">
        <v>2340</v>
      </c>
      <c r="F836" s="5">
        <v>2460</v>
      </c>
      <c r="G836" s="5">
        <v>2044.3</v>
      </c>
      <c r="H836" s="6">
        <v>122968900</v>
      </c>
      <c r="I836" s="22" t="str">
        <f t="shared" ref="I836:I899" si="89">IFERROR(IF(OR(F835="",F836=""),"",IF(F836-F835&lt;0,"-",IF(F836-F835&gt;0,"+","0"))),"")</f>
        <v>+</v>
      </c>
      <c r="J836" s="7">
        <f t="shared" ref="J836:J899" si="90">(F836-F835)/F835*100</f>
        <v>2.5</v>
      </c>
      <c r="K836" s="7">
        <f t="shared" ref="K836:K899" si="91">(H836-H835)/H835*100</f>
        <v>55.21809871590807</v>
      </c>
      <c r="L836" s="2" t="str">
        <f t="shared" si="86"/>
        <v>Normal</v>
      </c>
      <c r="M836" s="2" t="str">
        <f t="shared" si="87"/>
        <v>Normal</v>
      </c>
      <c r="N836" s="2" t="str">
        <f t="shared" si="88"/>
        <v>No</v>
      </c>
    </row>
    <row r="837" spans="1:14" x14ac:dyDescent="0.25">
      <c r="A837" s="3">
        <v>44701</v>
      </c>
      <c r="B837" s="4">
        <v>2022</v>
      </c>
      <c r="C837" s="5">
        <v>2520</v>
      </c>
      <c r="D837" s="5">
        <v>2520</v>
      </c>
      <c r="E837" s="5">
        <v>2460</v>
      </c>
      <c r="F837" s="5">
        <v>2490</v>
      </c>
      <c r="G837" s="5">
        <v>2069.23</v>
      </c>
      <c r="H837" s="6">
        <v>125630800</v>
      </c>
      <c r="I837" s="22" t="str">
        <f t="shared" si="89"/>
        <v>+</v>
      </c>
      <c r="J837" s="7">
        <f t="shared" si="90"/>
        <v>1.2195121951219512</v>
      </c>
      <c r="K837" s="7">
        <f t="shared" si="91"/>
        <v>2.1646936745795076</v>
      </c>
      <c r="L837" s="2" t="str">
        <f t="shared" si="86"/>
        <v>Normal</v>
      </c>
      <c r="M837" s="2" t="str">
        <f t="shared" si="87"/>
        <v>Normal</v>
      </c>
      <c r="N837" s="2" t="str">
        <f t="shared" si="88"/>
        <v>No</v>
      </c>
    </row>
    <row r="838" spans="1:14" x14ac:dyDescent="0.25">
      <c r="A838" s="3">
        <v>44704</v>
      </c>
      <c r="B838" s="4">
        <v>2022</v>
      </c>
      <c r="C838" s="5">
        <v>2560</v>
      </c>
      <c r="D838" s="5">
        <v>2670</v>
      </c>
      <c r="E838" s="5">
        <v>2520</v>
      </c>
      <c r="F838" s="5">
        <v>2530</v>
      </c>
      <c r="G838" s="5">
        <v>2102.4699999999998</v>
      </c>
      <c r="H838" s="6">
        <v>244871700</v>
      </c>
      <c r="I838" s="22" t="str">
        <f t="shared" si="89"/>
        <v>+</v>
      </c>
      <c r="J838" s="7">
        <f t="shared" si="90"/>
        <v>1.6064257028112447</v>
      </c>
      <c r="K838" s="7">
        <f t="shared" si="91"/>
        <v>94.91374726579788</v>
      </c>
      <c r="L838" s="2" t="str">
        <f t="shared" si="86"/>
        <v>Normal</v>
      </c>
      <c r="M838" s="2" t="str">
        <f t="shared" si="87"/>
        <v>Normal</v>
      </c>
      <c r="N838" s="2" t="str">
        <f t="shared" si="88"/>
        <v>No</v>
      </c>
    </row>
    <row r="839" spans="1:14" x14ac:dyDescent="0.25">
      <c r="A839" s="3">
        <v>44705</v>
      </c>
      <c r="B839" s="4">
        <v>2022</v>
      </c>
      <c r="C839" s="5">
        <v>2550</v>
      </c>
      <c r="D839" s="5">
        <v>2600</v>
      </c>
      <c r="E839" s="5">
        <v>2530</v>
      </c>
      <c r="F839" s="5">
        <v>2570</v>
      </c>
      <c r="G839" s="5">
        <v>2135.71</v>
      </c>
      <c r="H839" s="6">
        <v>110538500</v>
      </c>
      <c r="I839" s="22" t="str">
        <f t="shared" si="89"/>
        <v>+</v>
      </c>
      <c r="J839" s="7">
        <f t="shared" si="90"/>
        <v>1.5810276679841897</v>
      </c>
      <c r="K839" s="7">
        <f t="shared" si="91"/>
        <v>-54.858605547313147</v>
      </c>
      <c r="L839" s="2" t="str">
        <f t="shared" si="86"/>
        <v>Normal</v>
      </c>
      <c r="M839" s="2" t="str">
        <f t="shared" si="87"/>
        <v>Normal</v>
      </c>
      <c r="N839" s="2" t="str">
        <f t="shared" si="88"/>
        <v>No</v>
      </c>
    </row>
    <row r="840" spans="1:14" x14ac:dyDescent="0.25">
      <c r="A840" s="3">
        <v>44706</v>
      </c>
      <c r="B840" s="4">
        <v>2022</v>
      </c>
      <c r="C840" s="5">
        <v>2560</v>
      </c>
      <c r="D840" s="5">
        <v>2580</v>
      </c>
      <c r="E840" s="5">
        <v>2460</v>
      </c>
      <c r="F840" s="5">
        <v>2490</v>
      </c>
      <c r="G840" s="5">
        <v>2069.23</v>
      </c>
      <c r="H840" s="6">
        <v>115849600</v>
      </c>
      <c r="I840" s="22" t="str">
        <f t="shared" si="89"/>
        <v>-</v>
      </c>
      <c r="J840" s="7">
        <f t="shared" si="90"/>
        <v>-3.1128404669260701</v>
      </c>
      <c r="K840" s="7">
        <f t="shared" si="91"/>
        <v>4.8047512857511183</v>
      </c>
      <c r="L840" s="2" t="str">
        <f t="shared" si="86"/>
        <v>Normal</v>
      </c>
      <c r="M840" s="2" t="str">
        <f t="shared" si="87"/>
        <v>Normal</v>
      </c>
      <c r="N840" s="2" t="str">
        <f t="shared" si="88"/>
        <v>No</v>
      </c>
    </row>
    <row r="841" spans="1:14" x14ac:dyDescent="0.25">
      <c r="A841" s="3">
        <v>44708</v>
      </c>
      <c r="B841" s="4">
        <v>2022</v>
      </c>
      <c r="C841" s="5">
        <v>2510</v>
      </c>
      <c r="D841" s="5">
        <v>2530</v>
      </c>
      <c r="E841" s="5">
        <v>2460</v>
      </c>
      <c r="F841" s="5">
        <v>2470</v>
      </c>
      <c r="G841" s="5">
        <v>2052.61</v>
      </c>
      <c r="H841" s="6">
        <v>76174000</v>
      </c>
      <c r="I841" s="22" t="str">
        <f t="shared" si="89"/>
        <v>-</v>
      </c>
      <c r="J841" s="7">
        <f t="shared" si="90"/>
        <v>-0.80321285140562237</v>
      </c>
      <c r="K841" s="7">
        <f t="shared" si="91"/>
        <v>-34.24750711267022</v>
      </c>
      <c r="L841" s="2" t="str">
        <f t="shared" si="86"/>
        <v>Normal</v>
      </c>
      <c r="M841" s="2" t="str">
        <f t="shared" si="87"/>
        <v>Normal</v>
      </c>
      <c r="N841" s="2" t="str">
        <f t="shared" si="88"/>
        <v>No</v>
      </c>
    </row>
    <row r="842" spans="1:14" x14ac:dyDescent="0.25">
      <c r="A842" s="3">
        <v>44711</v>
      </c>
      <c r="B842" s="4">
        <v>2022</v>
      </c>
      <c r="C842" s="5">
        <v>2500</v>
      </c>
      <c r="D842" s="5">
        <v>2570</v>
      </c>
      <c r="E842" s="5">
        <v>2470</v>
      </c>
      <c r="F842" s="5">
        <v>2560</v>
      </c>
      <c r="G842" s="5">
        <v>2127.4</v>
      </c>
      <c r="H842" s="6">
        <v>125203400</v>
      </c>
      <c r="I842" s="22" t="str">
        <f t="shared" si="89"/>
        <v>+</v>
      </c>
      <c r="J842" s="7">
        <f t="shared" si="90"/>
        <v>3.6437246963562751</v>
      </c>
      <c r="K842" s="7">
        <f t="shared" si="91"/>
        <v>64.365006432641053</v>
      </c>
      <c r="L842" s="2" t="str">
        <f t="shared" si="86"/>
        <v>Normal</v>
      </c>
      <c r="M842" s="2" t="str">
        <f t="shared" si="87"/>
        <v>Normal</v>
      </c>
      <c r="N842" s="2" t="str">
        <f t="shared" si="88"/>
        <v>No</v>
      </c>
    </row>
    <row r="843" spans="1:14" x14ac:dyDescent="0.25">
      <c r="A843" s="3">
        <v>44712</v>
      </c>
      <c r="B843" s="4">
        <v>2022</v>
      </c>
      <c r="C843" s="5">
        <v>2570</v>
      </c>
      <c r="D843" s="5">
        <v>2570</v>
      </c>
      <c r="E843" s="5">
        <v>2500</v>
      </c>
      <c r="F843" s="5">
        <v>2510</v>
      </c>
      <c r="G843" s="5">
        <v>2085.85</v>
      </c>
      <c r="H843" s="6">
        <v>168242000</v>
      </c>
      <c r="I843" s="22" t="str">
        <f t="shared" si="89"/>
        <v>-</v>
      </c>
      <c r="J843" s="7">
        <f t="shared" si="90"/>
        <v>-1.953125</v>
      </c>
      <c r="K843" s="7">
        <f t="shared" si="91"/>
        <v>34.374945089350611</v>
      </c>
      <c r="L843" s="2" t="str">
        <f t="shared" si="86"/>
        <v>Normal</v>
      </c>
      <c r="M843" s="2" t="str">
        <f t="shared" si="87"/>
        <v>Normal</v>
      </c>
      <c r="N843" s="2" t="str">
        <f t="shared" si="88"/>
        <v>No</v>
      </c>
    </row>
    <row r="844" spans="1:14" x14ac:dyDescent="0.25">
      <c r="A844" s="3">
        <v>44714</v>
      </c>
      <c r="B844" s="4">
        <v>2022</v>
      </c>
      <c r="C844" s="5">
        <v>2500</v>
      </c>
      <c r="D844" s="5">
        <v>2560</v>
      </c>
      <c r="E844" s="5">
        <v>2470</v>
      </c>
      <c r="F844" s="5">
        <v>2510</v>
      </c>
      <c r="G844" s="5">
        <v>2085.85</v>
      </c>
      <c r="H844" s="6">
        <v>116209300</v>
      </c>
      <c r="I844" s="22" t="str">
        <f t="shared" si="89"/>
        <v>0</v>
      </c>
      <c r="J844" s="7">
        <f t="shared" si="90"/>
        <v>0</v>
      </c>
      <c r="K844" s="7">
        <f t="shared" si="91"/>
        <v>-30.927295205715577</v>
      </c>
      <c r="L844" s="2" t="str">
        <f t="shared" si="86"/>
        <v>Normal</v>
      </c>
      <c r="M844" s="2" t="str">
        <f t="shared" si="87"/>
        <v>Normal</v>
      </c>
      <c r="N844" s="2" t="str">
        <f t="shared" si="88"/>
        <v>No</v>
      </c>
    </row>
    <row r="845" spans="1:14" x14ac:dyDescent="0.25">
      <c r="A845" s="3">
        <v>44715</v>
      </c>
      <c r="B845" s="4">
        <v>2022</v>
      </c>
      <c r="C845" s="5">
        <v>2520</v>
      </c>
      <c r="D845" s="5">
        <v>2550</v>
      </c>
      <c r="E845" s="5">
        <v>2500</v>
      </c>
      <c r="F845" s="5">
        <v>2500</v>
      </c>
      <c r="G845" s="5">
        <v>2077.54</v>
      </c>
      <c r="H845" s="6">
        <v>71245700</v>
      </c>
      <c r="I845" s="22" t="str">
        <f t="shared" si="89"/>
        <v>-</v>
      </c>
      <c r="J845" s="7">
        <f t="shared" si="90"/>
        <v>-0.39840637450199201</v>
      </c>
      <c r="K845" s="7">
        <f t="shared" si="91"/>
        <v>-38.691911920990833</v>
      </c>
      <c r="L845" s="2" t="str">
        <f t="shared" si="86"/>
        <v>Normal</v>
      </c>
      <c r="M845" s="2" t="str">
        <f t="shared" si="87"/>
        <v>Normal</v>
      </c>
      <c r="N845" s="2" t="str">
        <f t="shared" si="88"/>
        <v>No</v>
      </c>
    </row>
    <row r="846" spans="1:14" x14ac:dyDescent="0.25">
      <c r="A846" s="3">
        <v>44718</v>
      </c>
      <c r="B846" s="4">
        <v>2022</v>
      </c>
      <c r="C846" s="5">
        <v>2460</v>
      </c>
      <c r="D846" s="5">
        <v>2490</v>
      </c>
      <c r="E846" s="5">
        <v>2400</v>
      </c>
      <c r="F846" s="5">
        <v>2450</v>
      </c>
      <c r="G846" s="5">
        <v>2068.0300000000002</v>
      </c>
      <c r="H846" s="6">
        <v>93793800</v>
      </c>
      <c r="I846" s="22" t="str">
        <f t="shared" si="89"/>
        <v>-</v>
      </c>
      <c r="J846" s="7">
        <f t="shared" si="90"/>
        <v>-2</v>
      </c>
      <c r="K846" s="7">
        <f t="shared" si="91"/>
        <v>31.648366147009572</v>
      </c>
      <c r="L846" s="2" t="str">
        <f t="shared" si="86"/>
        <v>Normal</v>
      </c>
      <c r="M846" s="2" t="str">
        <f t="shared" si="87"/>
        <v>Normal</v>
      </c>
      <c r="N846" s="2" t="str">
        <f t="shared" si="88"/>
        <v>No</v>
      </c>
    </row>
    <row r="847" spans="1:14" x14ac:dyDescent="0.25">
      <c r="A847" s="3">
        <v>44719</v>
      </c>
      <c r="B847" s="4">
        <v>2022</v>
      </c>
      <c r="C847" s="5">
        <v>2450</v>
      </c>
      <c r="D847" s="5">
        <v>2470</v>
      </c>
      <c r="E847" s="5">
        <v>2420</v>
      </c>
      <c r="F847" s="5">
        <v>2420</v>
      </c>
      <c r="G847" s="5">
        <v>2042.71</v>
      </c>
      <c r="H847" s="6">
        <v>64431900</v>
      </c>
      <c r="I847" s="22" t="str">
        <f t="shared" si="89"/>
        <v>-</v>
      </c>
      <c r="J847" s="7">
        <f t="shared" si="90"/>
        <v>-1.2244897959183674</v>
      </c>
      <c r="K847" s="7">
        <f t="shared" si="91"/>
        <v>-31.304734428075204</v>
      </c>
      <c r="L847" s="2" t="str">
        <f t="shared" si="86"/>
        <v>Normal</v>
      </c>
      <c r="M847" s="2" t="str">
        <f t="shared" si="87"/>
        <v>Normal</v>
      </c>
      <c r="N847" s="2" t="str">
        <f t="shared" si="88"/>
        <v>No</v>
      </c>
    </row>
    <row r="848" spans="1:14" x14ac:dyDescent="0.25">
      <c r="A848" s="3">
        <v>44720</v>
      </c>
      <c r="B848" s="4">
        <v>2022</v>
      </c>
      <c r="C848" s="5">
        <v>2430</v>
      </c>
      <c r="D848" s="5">
        <v>2440</v>
      </c>
      <c r="E848" s="5">
        <v>2400</v>
      </c>
      <c r="F848" s="5">
        <v>2420</v>
      </c>
      <c r="G848" s="5">
        <v>2042.71</v>
      </c>
      <c r="H848" s="6">
        <v>57669200</v>
      </c>
      <c r="I848" s="22" t="str">
        <f t="shared" si="89"/>
        <v>0</v>
      </c>
      <c r="J848" s="7">
        <f t="shared" si="90"/>
        <v>0</v>
      </c>
      <c r="K848" s="7">
        <f t="shared" si="91"/>
        <v>-10.495887906456273</v>
      </c>
      <c r="L848" s="2" t="str">
        <f t="shared" si="86"/>
        <v>Normal</v>
      </c>
      <c r="M848" s="2" t="str">
        <f t="shared" si="87"/>
        <v>Normal</v>
      </c>
      <c r="N848" s="2" t="str">
        <f t="shared" si="88"/>
        <v>No</v>
      </c>
    </row>
    <row r="849" spans="1:14" x14ac:dyDescent="0.25">
      <c r="A849" s="3">
        <v>44721</v>
      </c>
      <c r="B849" s="4">
        <v>2022</v>
      </c>
      <c r="C849" s="5">
        <v>2420</v>
      </c>
      <c r="D849" s="5">
        <v>2450</v>
      </c>
      <c r="E849" s="5">
        <v>2380</v>
      </c>
      <c r="F849" s="5">
        <v>2400</v>
      </c>
      <c r="G849" s="5">
        <v>2025.83</v>
      </c>
      <c r="H849" s="6">
        <v>59980800</v>
      </c>
      <c r="I849" s="22" t="str">
        <f t="shared" si="89"/>
        <v>-</v>
      </c>
      <c r="J849" s="7">
        <f t="shared" si="90"/>
        <v>-0.82644628099173556</v>
      </c>
      <c r="K849" s="7">
        <f t="shared" si="91"/>
        <v>4.0083788226644383</v>
      </c>
      <c r="L849" s="2" t="str">
        <f t="shared" si="86"/>
        <v>Normal</v>
      </c>
      <c r="M849" s="2" t="str">
        <f t="shared" si="87"/>
        <v>Normal</v>
      </c>
      <c r="N849" s="2" t="str">
        <f t="shared" si="88"/>
        <v>No</v>
      </c>
    </row>
    <row r="850" spans="1:14" x14ac:dyDescent="0.25">
      <c r="A850" s="3">
        <v>44722</v>
      </c>
      <c r="B850" s="4">
        <v>2022</v>
      </c>
      <c r="C850" s="5">
        <v>2370</v>
      </c>
      <c r="D850" s="5">
        <v>2380</v>
      </c>
      <c r="E850" s="5">
        <v>2280</v>
      </c>
      <c r="F850" s="5">
        <v>2290</v>
      </c>
      <c r="G850" s="5">
        <v>1932.98</v>
      </c>
      <c r="H850" s="6">
        <v>131007700</v>
      </c>
      <c r="I850" s="22" t="str">
        <f t="shared" si="89"/>
        <v>-</v>
      </c>
      <c r="J850" s="7">
        <f t="shared" si="90"/>
        <v>-4.583333333333333</v>
      </c>
      <c r="K850" s="7">
        <f t="shared" si="91"/>
        <v>118.41605980580452</v>
      </c>
      <c r="L850" s="2" t="str">
        <f t="shared" si="86"/>
        <v>Sharp Price Decrease</v>
      </c>
      <c r="M850" s="2" t="str">
        <f t="shared" si="87"/>
        <v>Normal</v>
      </c>
      <c r="N850" s="2" t="str">
        <f t="shared" si="88"/>
        <v>No</v>
      </c>
    </row>
    <row r="851" spans="1:14" x14ac:dyDescent="0.25">
      <c r="A851" s="3">
        <v>44725</v>
      </c>
      <c r="B851" s="4">
        <v>2022</v>
      </c>
      <c r="C851" s="5">
        <v>2240</v>
      </c>
      <c r="D851" s="5">
        <v>2280</v>
      </c>
      <c r="E851" s="5">
        <v>2200</v>
      </c>
      <c r="F851" s="5">
        <v>2260</v>
      </c>
      <c r="G851" s="5">
        <v>1907.66</v>
      </c>
      <c r="H851" s="6">
        <v>113102900</v>
      </c>
      <c r="I851" s="22" t="str">
        <f t="shared" si="89"/>
        <v>-</v>
      </c>
      <c r="J851" s="7">
        <f t="shared" si="90"/>
        <v>-1.3100436681222707</v>
      </c>
      <c r="K851" s="7">
        <f t="shared" si="91"/>
        <v>-13.66698293306424</v>
      </c>
      <c r="L851" s="2" t="str">
        <f t="shared" si="86"/>
        <v>Normal</v>
      </c>
      <c r="M851" s="2" t="str">
        <f t="shared" si="87"/>
        <v>Normal</v>
      </c>
      <c r="N851" s="2" t="str">
        <f t="shared" si="88"/>
        <v>No</v>
      </c>
    </row>
    <row r="852" spans="1:14" x14ac:dyDescent="0.25">
      <c r="A852" s="3">
        <v>44726</v>
      </c>
      <c r="B852" s="4">
        <v>2022</v>
      </c>
      <c r="C852" s="5">
        <v>2240</v>
      </c>
      <c r="D852" s="5">
        <v>2260</v>
      </c>
      <c r="E852" s="5">
        <v>2160</v>
      </c>
      <c r="F852" s="5">
        <v>2180</v>
      </c>
      <c r="G852" s="5">
        <v>1840.13</v>
      </c>
      <c r="H852" s="6">
        <v>140882200</v>
      </c>
      <c r="I852" s="22" t="str">
        <f t="shared" si="89"/>
        <v>-</v>
      </c>
      <c r="J852" s="7">
        <f t="shared" si="90"/>
        <v>-3.5398230088495577</v>
      </c>
      <c r="K852" s="7">
        <f t="shared" si="91"/>
        <v>24.561085524774342</v>
      </c>
      <c r="L852" s="2" t="str">
        <f t="shared" si="86"/>
        <v>Normal</v>
      </c>
      <c r="M852" s="2" t="str">
        <f t="shared" si="87"/>
        <v>Normal</v>
      </c>
      <c r="N852" s="2" t="str">
        <f t="shared" si="88"/>
        <v>No</v>
      </c>
    </row>
    <row r="853" spans="1:14" x14ac:dyDescent="0.25">
      <c r="A853" s="3">
        <v>44727</v>
      </c>
      <c r="B853" s="4">
        <v>2022</v>
      </c>
      <c r="C853" s="5">
        <v>2180</v>
      </c>
      <c r="D853" s="5">
        <v>2240</v>
      </c>
      <c r="E853" s="5">
        <v>2120</v>
      </c>
      <c r="F853" s="5">
        <v>2170</v>
      </c>
      <c r="G853" s="5">
        <v>1831.69</v>
      </c>
      <c r="H853" s="6">
        <v>94872500</v>
      </c>
      <c r="I853" s="22" t="str">
        <f t="shared" si="89"/>
        <v>-</v>
      </c>
      <c r="J853" s="7">
        <f t="shared" si="90"/>
        <v>-0.45871559633027525</v>
      </c>
      <c r="K853" s="7">
        <f t="shared" si="91"/>
        <v>-32.658277624852538</v>
      </c>
      <c r="L853" s="2" t="str">
        <f t="shared" si="86"/>
        <v>Normal</v>
      </c>
      <c r="M853" s="2" t="str">
        <f t="shared" si="87"/>
        <v>Normal</v>
      </c>
      <c r="N853" s="2" t="str">
        <f t="shared" si="88"/>
        <v>No</v>
      </c>
    </row>
    <row r="854" spans="1:14" x14ac:dyDescent="0.25">
      <c r="A854" s="3">
        <v>44728</v>
      </c>
      <c r="B854" s="4">
        <v>2022</v>
      </c>
      <c r="C854" s="5">
        <v>2200</v>
      </c>
      <c r="D854" s="5">
        <v>2230</v>
      </c>
      <c r="E854" s="5">
        <v>2140</v>
      </c>
      <c r="F854" s="5">
        <v>2150</v>
      </c>
      <c r="G854" s="5">
        <v>1814.81</v>
      </c>
      <c r="H854" s="6">
        <v>99487000</v>
      </c>
      <c r="I854" s="22" t="str">
        <f t="shared" si="89"/>
        <v>-</v>
      </c>
      <c r="J854" s="7">
        <f t="shared" si="90"/>
        <v>-0.92165898617511521</v>
      </c>
      <c r="K854" s="7">
        <f t="shared" si="91"/>
        <v>4.8638962818519591</v>
      </c>
      <c r="L854" s="2" t="str">
        <f t="shared" si="86"/>
        <v>Normal</v>
      </c>
      <c r="M854" s="2" t="str">
        <f t="shared" si="87"/>
        <v>Normal</v>
      </c>
      <c r="N854" s="2" t="str">
        <f t="shared" si="88"/>
        <v>No</v>
      </c>
    </row>
    <row r="855" spans="1:14" x14ac:dyDescent="0.25">
      <c r="A855" s="3">
        <v>44729</v>
      </c>
      <c r="B855" s="4">
        <v>2022</v>
      </c>
      <c r="C855" s="5">
        <v>2120</v>
      </c>
      <c r="D855" s="5">
        <v>2140</v>
      </c>
      <c r="E855" s="5">
        <v>2100</v>
      </c>
      <c r="F855" s="5">
        <v>2110</v>
      </c>
      <c r="G855" s="5">
        <v>1781.04</v>
      </c>
      <c r="H855" s="6">
        <v>70818600</v>
      </c>
      <c r="I855" s="22" t="str">
        <f t="shared" si="89"/>
        <v>-</v>
      </c>
      <c r="J855" s="7">
        <f t="shared" si="90"/>
        <v>-1.8604651162790697</v>
      </c>
      <c r="K855" s="7">
        <f t="shared" si="91"/>
        <v>-28.816227245770804</v>
      </c>
      <c r="L855" s="2" t="str">
        <f t="shared" si="86"/>
        <v>Normal</v>
      </c>
      <c r="M855" s="2" t="str">
        <f t="shared" si="87"/>
        <v>Normal</v>
      </c>
      <c r="N855" s="2" t="str">
        <f t="shared" si="88"/>
        <v>No</v>
      </c>
    </row>
    <row r="856" spans="1:14" x14ac:dyDescent="0.25">
      <c r="A856" s="3">
        <v>44732</v>
      </c>
      <c r="B856" s="4">
        <v>2022</v>
      </c>
      <c r="C856" s="5">
        <v>2110</v>
      </c>
      <c r="D856" s="5">
        <v>2130</v>
      </c>
      <c r="E856" s="5">
        <v>2050</v>
      </c>
      <c r="F856" s="5">
        <v>2070</v>
      </c>
      <c r="G856" s="5">
        <v>1747.28</v>
      </c>
      <c r="H856" s="6">
        <v>78282700</v>
      </c>
      <c r="I856" s="22" t="str">
        <f t="shared" si="89"/>
        <v>-</v>
      </c>
      <c r="J856" s="7">
        <f t="shared" si="90"/>
        <v>-1.8957345971563981</v>
      </c>
      <c r="K856" s="7">
        <f t="shared" si="91"/>
        <v>10.539745208179772</v>
      </c>
      <c r="L856" s="2" t="str">
        <f t="shared" si="86"/>
        <v>Normal</v>
      </c>
      <c r="M856" s="2" t="str">
        <f t="shared" si="87"/>
        <v>Normal</v>
      </c>
      <c r="N856" s="2" t="str">
        <f t="shared" si="88"/>
        <v>No</v>
      </c>
    </row>
    <row r="857" spans="1:14" x14ac:dyDescent="0.25">
      <c r="A857" s="3">
        <v>44733</v>
      </c>
      <c r="B857" s="4">
        <v>2022</v>
      </c>
      <c r="C857" s="5">
        <v>2080</v>
      </c>
      <c r="D857" s="5">
        <v>2150</v>
      </c>
      <c r="E857" s="5">
        <v>2070</v>
      </c>
      <c r="F857" s="5">
        <v>2150</v>
      </c>
      <c r="G857" s="5">
        <v>1814.81</v>
      </c>
      <c r="H857" s="6">
        <v>83298700</v>
      </c>
      <c r="I857" s="22" t="str">
        <f t="shared" si="89"/>
        <v>+</v>
      </c>
      <c r="J857" s="7">
        <f t="shared" si="90"/>
        <v>3.8647342995169081</v>
      </c>
      <c r="K857" s="7">
        <f t="shared" si="91"/>
        <v>6.4075459839785793</v>
      </c>
      <c r="L857" s="2" t="str">
        <f t="shared" si="86"/>
        <v>Normal</v>
      </c>
      <c r="M857" s="2" t="str">
        <f t="shared" si="87"/>
        <v>Normal</v>
      </c>
      <c r="N857" s="2" t="str">
        <f t="shared" si="88"/>
        <v>No</v>
      </c>
    </row>
    <row r="858" spans="1:14" x14ac:dyDescent="0.25">
      <c r="A858" s="3">
        <v>44734</v>
      </c>
      <c r="B858" s="4">
        <v>2022</v>
      </c>
      <c r="C858" s="5">
        <v>2140</v>
      </c>
      <c r="D858" s="5">
        <v>2140</v>
      </c>
      <c r="E858" s="5">
        <v>2020</v>
      </c>
      <c r="F858" s="5">
        <v>2020</v>
      </c>
      <c r="G858" s="5">
        <v>1705.07</v>
      </c>
      <c r="H858" s="6">
        <v>171508200</v>
      </c>
      <c r="I858" s="22" t="str">
        <f t="shared" si="89"/>
        <v>-</v>
      </c>
      <c r="J858" s="7">
        <f t="shared" si="90"/>
        <v>-6.0465116279069768</v>
      </c>
      <c r="K858" s="7">
        <f t="shared" si="91"/>
        <v>105.89541013245105</v>
      </c>
      <c r="L858" s="2" t="str">
        <f t="shared" si="86"/>
        <v>Sharp Price Decrease</v>
      </c>
      <c r="M858" s="2" t="str">
        <f t="shared" si="87"/>
        <v>Normal</v>
      </c>
      <c r="N858" s="2" t="str">
        <f t="shared" si="88"/>
        <v>No</v>
      </c>
    </row>
    <row r="859" spans="1:14" x14ac:dyDescent="0.25">
      <c r="A859" s="3">
        <v>44735</v>
      </c>
      <c r="B859" s="4">
        <v>2022</v>
      </c>
      <c r="C859" s="5">
        <v>2020</v>
      </c>
      <c r="D859" s="5">
        <v>2020</v>
      </c>
      <c r="E859" s="5">
        <v>1955</v>
      </c>
      <c r="F859" s="5">
        <v>1965</v>
      </c>
      <c r="G859" s="5">
        <v>1658.65</v>
      </c>
      <c r="H859" s="6">
        <v>127468500</v>
      </c>
      <c r="I859" s="22" t="str">
        <f t="shared" si="89"/>
        <v>-</v>
      </c>
      <c r="J859" s="7">
        <f t="shared" si="90"/>
        <v>-2.722772277227723</v>
      </c>
      <c r="K859" s="7">
        <f t="shared" si="91"/>
        <v>-25.677897616557111</v>
      </c>
      <c r="L859" s="2" t="str">
        <f t="shared" si="86"/>
        <v>Normal</v>
      </c>
      <c r="M859" s="2" t="str">
        <f t="shared" si="87"/>
        <v>Normal</v>
      </c>
      <c r="N859" s="2" t="str">
        <f t="shared" si="88"/>
        <v>No</v>
      </c>
    </row>
    <row r="860" spans="1:14" x14ac:dyDescent="0.25">
      <c r="A860" s="3">
        <v>44736</v>
      </c>
      <c r="B860" s="4">
        <v>2022</v>
      </c>
      <c r="C860" s="5">
        <v>1950</v>
      </c>
      <c r="D860" s="5">
        <v>2000</v>
      </c>
      <c r="E860" s="5">
        <v>1950</v>
      </c>
      <c r="F860" s="5">
        <v>1970</v>
      </c>
      <c r="G860" s="5">
        <v>1662.87</v>
      </c>
      <c r="H860" s="6">
        <v>73717900</v>
      </c>
      <c r="I860" s="22" t="str">
        <f t="shared" si="89"/>
        <v>+</v>
      </c>
      <c r="J860" s="7">
        <f t="shared" si="90"/>
        <v>0.2544529262086514</v>
      </c>
      <c r="K860" s="7">
        <f t="shared" si="91"/>
        <v>-42.167751248347628</v>
      </c>
      <c r="L860" s="2" t="str">
        <f t="shared" si="86"/>
        <v>Normal</v>
      </c>
      <c r="M860" s="2" t="str">
        <f t="shared" si="87"/>
        <v>Normal</v>
      </c>
      <c r="N860" s="2" t="str">
        <f t="shared" si="88"/>
        <v>No</v>
      </c>
    </row>
    <row r="861" spans="1:14" x14ac:dyDescent="0.25">
      <c r="A861" s="3">
        <v>44739</v>
      </c>
      <c r="B861" s="4">
        <v>2022</v>
      </c>
      <c r="C861" s="5">
        <v>1970</v>
      </c>
      <c r="D861" s="5">
        <v>1970</v>
      </c>
      <c r="E861" s="5">
        <v>1885</v>
      </c>
      <c r="F861" s="5">
        <v>1890</v>
      </c>
      <c r="G861" s="5">
        <v>1595.34</v>
      </c>
      <c r="H861" s="6">
        <v>172003400</v>
      </c>
      <c r="I861" s="22" t="str">
        <f t="shared" si="89"/>
        <v>-</v>
      </c>
      <c r="J861" s="7">
        <f t="shared" si="90"/>
        <v>-4.0609137055837561</v>
      </c>
      <c r="K861" s="7">
        <f t="shared" si="91"/>
        <v>133.32650550273405</v>
      </c>
      <c r="L861" s="2" t="str">
        <f t="shared" si="86"/>
        <v>Normal</v>
      </c>
      <c r="M861" s="2" t="str">
        <f t="shared" si="87"/>
        <v>Normal</v>
      </c>
      <c r="N861" s="2" t="str">
        <f t="shared" si="88"/>
        <v>No</v>
      </c>
    </row>
    <row r="862" spans="1:14" x14ac:dyDescent="0.25">
      <c r="A862" s="3">
        <v>44740</v>
      </c>
      <c r="B862" s="4">
        <v>2022</v>
      </c>
      <c r="C862" s="5">
        <v>1890</v>
      </c>
      <c r="D862" s="5">
        <v>1905</v>
      </c>
      <c r="E862" s="5">
        <v>1860</v>
      </c>
      <c r="F862" s="5">
        <v>1865</v>
      </c>
      <c r="G862" s="5">
        <v>1574.24</v>
      </c>
      <c r="H862" s="6">
        <v>106446700</v>
      </c>
      <c r="I862" s="22" t="str">
        <f t="shared" si="89"/>
        <v>-</v>
      </c>
      <c r="J862" s="7">
        <f t="shared" si="90"/>
        <v>-1.3227513227513228</v>
      </c>
      <c r="K862" s="7">
        <f t="shared" si="91"/>
        <v>-38.113607056604693</v>
      </c>
      <c r="L862" s="2" t="str">
        <f t="shared" si="86"/>
        <v>Normal</v>
      </c>
      <c r="M862" s="2" t="str">
        <f t="shared" si="87"/>
        <v>Normal</v>
      </c>
      <c r="N862" s="2" t="str">
        <f t="shared" si="88"/>
        <v>No</v>
      </c>
    </row>
    <row r="863" spans="1:14" x14ac:dyDescent="0.25">
      <c r="A863" s="3">
        <v>44741</v>
      </c>
      <c r="B863" s="4">
        <v>2022</v>
      </c>
      <c r="C863" s="5">
        <v>1855</v>
      </c>
      <c r="D863" s="5">
        <v>1890</v>
      </c>
      <c r="E863" s="5">
        <v>1835</v>
      </c>
      <c r="F863" s="5">
        <v>1835</v>
      </c>
      <c r="G863" s="5">
        <v>1548.92</v>
      </c>
      <c r="H863" s="6">
        <v>118684300</v>
      </c>
      <c r="I863" s="22" t="str">
        <f t="shared" si="89"/>
        <v>-</v>
      </c>
      <c r="J863" s="7">
        <f t="shared" si="90"/>
        <v>-1.6085790884718498</v>
      </c>
      <c r="K863" s="7">
        <f t="shared" si="91"/>
        <v>11.496457851676004</v>
      </c>
      <c r="L863" s="2" t="str">
        <f t="shared" si="86"/>
        <v>Normal</v>
      </c>
      <c r="M863" s="2" t="str">
        <f t="shared" si="87"/>
        <v>Normal</v>
      </c>
      <c r="N863" s="2" t="str">
        <f t="shared" si="88"/>
        <v>No</v>
      </c>
    </row>
    <row r="864" spans="1:14" x14ac:dyDescent="0.25">
      <c r="A864" s="3">
        <v>44742</v>
      </c>
      <c r="B864" s="4">
        <v>2022</v>
      </c>
      <c r="C864" s="5">
        <v>1850</v>
      </c>
      <c r="D864" s="5">
        <v>1860</v>
      </c>
      <c r="E864" s="5">
        <v>1800</v>
      </c>
      <c r="F864" s="5">
        <v>1800</v>
      </c>
      <c r="G864" s="5">
        <v>1519.37</v>
      </c>
      <c r="H864" s="6">
        <v>77824200</v>
      </c>
      <c r="I864" s="22" t="str">
        <f t="shared" si="89"/>
        <v>-</v>
      </c>
      <c r="J864" s="7">
        <f t="shared" si="90"/>
        <v>-1.9073569482288828</v>
      </c>
      <c r="K864" s="7">
        <f t="shared" si="91"/>
        <v>-34.42755275971632</v>
      </c>
      <c r="L864" s="2" t="str">
        <f t="shared" si="86"/>
        <v>Normal</v>
      </c>
      <c r="M864" s="2" t="str">
        <f t="shared" si="87"/>
        <v>Normal</v>
      </c>
      <c r="N864" s="2" t="str">
        <f t="shared" si="88"/>
        <v>No</v>
      </c>
    </row>
    <row r="865" spans="1:14" x14ac:dyDescent="0.25">
      <c r="A865" s="3">
        <v>44743</v>
      </c>
      <c r="B865" s="4">
        <v>2022</v>
      </c>
      <c r="C865" s="5">
        <v>1795</v>
      </c>
      <c r="D865" s="5">
        <v>1810</v>
      </c>
      <c r="E865" s="5">
        <v>1750</v>
      </c>
      <c r="F865" s="5">
        <v>1750</v>
      </c>
      <c r="G865" s="5">
        <v>1477.17</v>
      </c>
      <c r="H865" s="6">
        <v>114976000</v>
      </c>
      <c r="I865" s="22" t="str">
        <f t="shared" si="89"/>
        <v>-</v>
      </c>
      <c r="J865" s="7">
        <f t="shared" si="90"/>
        <v>-2.7777777777777777</v>
      </c>
      <c r="K865" s="7">
        <f t="shared" si="91"/>
        <v>47.738107169749256</v>
      </c>
      <c r="L865" s="2" t="str">
        <f t="shared" si="86"/>
        <v>Normal</v>
      </c>
      <c r="M865" s="2" t="str">
        <f t="shared" si="87"/>
        <v>Normal</v>
      </c>
      <c r="N865" s="2" t="str">
        <f t="shared" si="88"/>
        <v>No</v>
      </c>
    </row>
    <row r="866" spans="1:14" x14ac:dyDescent="0.25">
      <c r="A866" s="3">
        <v>44746</v>
      </c>
      <c r="B866" s="4">
        <v>2022</v>
      </c>
      <c r="C866" s="5">
        <v>1750</v>
      </c>
      <c r="D866" s="5">
        <v>1770</v>
      </c>
      <c r="E866" s="5">
        <v>1700</v>
      </c>
      <c r="F866" s="5">
        <v>1720</v>
      </c>
      <c r="G866" s="5">
        <v>1451.84</v>
      </c>
      <c r="H866" s="6">
        <v>101952600</v>
      </c>
      <c r="I866" s="22" t="str">
        <f t="shared" si="89"/>
        <v>-</v>
      </c>
      <c r="J866" s="7">
        <f t="shared" si="90"/>
        <v>-1.7142857142857144</v>
      </c>
      <c r="K866" s="7">
        <f t="shared" si="91"/>
        <v>-11.327059560256053</v>
      </c>
      <c r="L866" s="2" t="str">
        <f t="shared" si="86"/>
        <v>Normal</v>
      </c>
      <c r="M866" s="2" t="str">
        <f t="shared" si="87"/>
        <v>Normal</v>
      </c>
      <c r="N866" s="2" t="str">
        <f t="shared" si="88"/>
        <v>No</v>
      </c>
    </row>
    <row r="867" spans="1:14" x14ac:dyDescent="0.25">
      <c r="A867" s="3">
        <v>44747</v>
      </c>
      <c r="B867" s="4">
        <v>2022</v>
      </c>
      <c r="C867" s="5">
        <v>1740</v>
      </c>
      <c r="D867" s="5">
        <v>1820</v>
      </c>
      <c r="E867" s="5">
        <v>1740</v>
      </c>
      <c r="F867" s="5">
        <v>1790</v>
      </c>
      <c r="G867" s="5">
        <v>1510.93</v>
      </c>
      <c r="H867" s="6">
        <v>123382000</v>
      </c>
      <c r="I867" s="22" t="str">
        <f t="shared" si="89"/>
        <v>+</v>
      </c>
      <c r="J867" s="7">
        <f t="shared" si="90"/>
        <v>4.0697674418604652</v>
      </c>
      <c r="K867" s="7">
        <f t="shared" si="91"/>
        <v>21.018983331469723</v>
      </c>
      <c r="L867" s="2" t="str">
        <f t="shared" si="86"/>
        <v>Normal</v>
      </c>
      <c r="M867" s="2" t="str">
        <f t="shared" si="87"/>
        <v>Normal</v>
      </c>
      <c r="N867" s="2" t="str">
        <f t="shared" si="88"/>
        <v>No</v>
      </c>
    </row>
    <row r="868" spans="1:14" x14ac:dyDescent="0.25">
      <c r="A868" s="3">
        <v>44748</v>
      </c>
      <c r="B868" s="4">
        <v>2022</v>
      </c>
      <c r="C868" s="5">
        <v>1775</v>
      </c>
      <c r="D868" s="5">
        <v>1780</v>
      </c>
      <c r="E868" s="5">
        <v>1710</v>
      </c>
      <c r="F868" s="5">
        <v>1720</v>
      </c>
      <c r="G868" s="5">
        <v>1451.84</v>
      </c>
      <c r="H868" s="6">
        <v>96872200</v>
      </c>
      <c r="I868" s="22" t="str">
        <f t="shared" si="89"/>
        <v>-</v>
      </c>
      <c r="J868" s="7">
        <f t="shared" si="90"/>
        <v>-3.9106145251396649</v>
      </c>
      <c r="K868" s="7">
        <f t="shared" si="91"/>
        <v>-21.485954191048936</v>
      </c>
      <c r="L868" s="2" t="str">
        <f t="shared" si="86"/>
        <v>Normal</v>
      </c>
      <c r="M868" s="2" t="str">
        <f t="shared" si="87"/>
        <v>Normal</v>
      </c>
      <c r="N868" s="2" t="str">
        <f t="shared" si="88"/>
        <v>No</v>
      </c>
    </row>
    <row r="869" spans="1:14" x14ac:dyDescent="0.25">
      <c r="A869" s="3">
        <v>44749</v>
      </c>
      <c r="B869" s="4">
        <v>2022</v>
      </c>
      <c r="C869" s="5">
        <v>1715</v>
      </c>
      <c r="D869" s="5">
        <v>1735</v>
      </c>
      <c r="E869" s="5">
        <v>1700</v>
      </c>
      <c r="F869" s="5">
        <v>1720</v>
      </c>
      <c r="G869" s="5">
        <v>1451.84</v>
      </c>
      <c r="H869" s="6">
        <v>73058900</v>
      </c>
      <c r="I869" s="22" t="str">
        <f t="shared" si="89"/>
        <v>0</v>
      </c>
      <c r="J869" s="7">
        <f t="shared" si="90"/>
        <v>0</v>
      </c>
      <c r="K869" s="7">
        <f t="shared" si="91"/>
        <v>-24.582181472083839</v>
      </c>
      <c r="L869" s="2" t="str">
        <f t="shared" si="86"/>
        <v>Normal</v>
      </c>
      <c r="M869" s="2" t="str">
        <f t="shared" si="87"/>
        <v>Normal</v>
      </c>
      <c r="N869" s="2" t="str">
        <f t="shared" si="88"/>
        <v>No</v>
      </c>
    </row>
    <row r="870" spans="1:14" x14ac:dyDescent="0.25">
      <c r="A870" s="3">
        <v>44750</v>
      </c>
      <c r="B870" s="4">
        <v>2022</v>
      </c>
      <c r="C870" s="5">
        <v>1725</v>
      </c>
      <c r="D870" s="5">
        <v>1755</v>
      </c>
      <c r="E870" s="5">
        <v>1710</v>
      </c>
      <c r="F870" s="5">
        <v>1715</v>
      </c>
      <c r="G870" s="5">
        <v>1447.62</v>
      </c>
      <c r="H870" s="6">
        <v>83303200</v>
      </c>
      <c r="I870" s="22" t="str">
        <f t="shared" si="89"/>
        <v>-</v>
      </c>
      <c r="J870" s="7">
        <f t="shared" si="90"/>
        <v>-0.29069767441860467</v>
      </c>
      <c r="K870" s="7">
        <f t="shared" si="91"/>
        <v>14.02197405107386</v>
      </c>
      <c r="L870" s="2" t="str">
        <f t="shared" si="86"/>
        <v>Normal</v>
      </c>
      <c r="M870" s="2" t="str">
        <f t="shared" si="87"/>
        <v>Normal</v>
      </c>
      <c r="N870" s="2" t="str">
        <f t="shared" si="88"/>
        <v>No</v>
      </c>
    </row>
    <row r="871" spans="1:14" x14ac:dyDescent="0.25">
      <c r="A871" s="3">
        <v>44753</v>
      </c>
      <c r="B871" s="4">
        <v>2022</v>
      </c>
      <c r="C871" s="5">
        <v>1720</v>
      </c>
      <c r="D871" s="5">
        <v>1730</v>
      </c>
      <c r="E871" s="5">
        <v>1705</v>
      </c>
      <c r="F871" s="5">
        <v>1720</v>
      </c>
      <c r="G871" s="5">
        <v>1451.84</v>
      </c>
      <c r="H871" s="6">
        <v>49575300</v>
      </c>
      <c r="I871" s="22" t="str">
        <f t="shared" si="89"/>
        <v>+</v>
      </c>
      <c r="J871" s="7">
        <f t="shared" si="90"/>
        <v>0.29154518950437319</v>
      </c>
      <c r="K871" s="7">
        <f t="shared" si="91"/>
        <v>-40.488120504374379</v>
      </c>
      <c r="L871" s="2" t="str">
        <f t="shared" si="86"/>
        <v>Normal</v>
      </c>
      <c r="M871" s="2" t="str">
        <f t="shared" si="87"/>
        <v>Normal</v>
      </c>
      <c r="N871" s="2" t="str">
        <f t="shared" si="88"/>
        <v>No</v>
      </c>
    </row>
    <row r="872" spans="1:14" x14ac:dyDescent="0.25">
      <c r="A872" s="3">
        <v>44754</v>
      </c>
      <c r="B872" s="4">
        <v>2022</v>
      </c>
      <c r="C872" s="5">
        <v>1720</v>
      </c>
      <c r="D872" s="5">
        <v>1770</v>
      </c>
      <c r="E872" s="5">
        <v>1720</v>
      </c>
      <c r="F872" s="5">
        <v>1740</v>
      </c>
      <c r="G872" s="5">
        <v>1468.73</v>
      </c>
      <c r="H872" s="6">
        <v>88165200</v>
      </c>
      <c r="I872" s="22" t="str">
        <f t="shared" si="89"/>
        <v>+</v>
      </c>
      <c r="J872" s="7">
        <f t="shared" si="90"/>
        <v>1.1627906976744187</v>
      </c>
      <c r="K872" s="7">
        <f t="shared" si="91"/>
        <v>77.840981295120756</v>
      </c>
      <c r="L872" s="2" t="str">
        <f t="shared" si="86"/>
        <v>Normal</v>
      </c>
      <c r="M872" s="2" t="str">
        <f t="shared" si="87"/>
        <v>Normal</v>
      </c>
      <c r="N872" s="2" t="str">
        <f t="shared" si="88"/>
        <v>No</v>
      </c>
    </row>
    <row r="873" spans="1:14" x14ac:dyDescent="0.25">
      <c r="A873" s="3">
        <v>44755</v>
      </c>
      <c r="B873" s="4">
        <v>2022</v>
      </c>
      <c r="C873" s="5">
        <v>1740</v>
      </c>
      <c r="D873" s="5">
        <v>1755</v>
      </c>
      <c r="E873" s="5">
        <v>1715</v>
      </c>
      <c r="F873" s="5">
        <v>1720</v>
      </c>
      <c r="G873" s="5">
        <v>1451.84</v>
      </c>
      <c r="H873" s="6">
        <v>50792800</v>
      </c>
      <c r="I873" s="22" t="str">
        <f t="shared" si="89"/>
        <v>-</v>
      </c>
      <c r="J873" s="7">
        <f t="shared" si="90"/>
        <v>-1.1494252873563218</v>
      </c>
      <c r="K873" s="7">
        <f t="shared" si="91"/>
        <v>-42.389060536356752</v>
      </c>
      <c r="L873" s="2" t="str">
        <f t="shared" si="86"/>
        <v>Normal</v>
      </c>
      <c r="M873" s="2" t="str">
        <f t="shared" si="87"/>
        <v>Normal</v>
      </c>
      <c r="N873" s="2" t="str">
        <f t="shared" si="88"/>
        <v>No</v>
      </c>
    </row>
    <row r="874" spans="1:14" x14ac:dyDescent="0.25">
      <c r="A874" s="3">
        <v>44756</v>
      </c>
      <c r="B874" s="4">
        <v>2022</v>
      </c>
      <c r="C874" s="5">
        <v>1720</v>
      </c>
      <c r="D874" s="5">
        <v>1725</v>
      </c>
      <c r="E874" s="5">
        <v>1640</v>
      </c>
      <c r="F874" s="5">
        <v>1650</v>
      </c>
      <c r="G874" s="5">
        <v>1392.76</v>
      </c>
      <c r="H874" s="6">
        <v>165952800</v>
      </c>
      <c r="I874" s="22" t="str">
        <f t="shared" si="89"/>
        <v>-</v>
      </c>
      <c r="J874" s="7">
        <f t="shared" si="90"/>
        <v>-4.0697674418604652</v>
      </c>
      <c r="K874" s="7">
        <f t="shared" si="91"/>
        <v>226.72504764454806</v>
      </c>
      <c r="L874" s="2" t="str">
        <f t="shared" si="86"/>
        <v>Normal</v>
      </c>
      <c r="M874" s="2" t="str">
        <f t="shared" si="87"/>
        <v>Sharp Volume Increase</v>
      </c>
      <c r="N874" s="2" t="str">
        <f t="shared" si="88"/>
        <v>No</v>
      </c>
    </row>
    <row r="875" spans="1:14" x14ac:dyDescent="0.25">
      <c r="A875" s="3">
        <v>44757</v>
      </c>
      <c r="B875" s="4">
        <v>2022</v>
      </c>
      <c r="C875" s="5">
        <v>1600</v>
      </c>
      <c r="D875" s="5">
        <v>1605</v>
      </c>
      <c r="E875" s="5">
        <v>1535</v>
      </c>
      <c r="F875" s="5">
        <v>1540</v>
      </c>
      <c r="G875" s="5">
        <v>1299.9100000000001</v>
      </c>
      <c r="H875" s="6">
        <v>227657100</v>
      </c>
      <c r="I875" s="22" t="str">
        <f t="shared" si="89"/>
        <v>-</v>
      </c>
      <c r="J875" s="7">
        <f t="shared" si="90"/>
        <v>-6.666666666666667</v>
      </c>
      <c r="K875" s="7">
        <f t="shared" si="91"/>
        <v>37.181837245289024</v>
      </c>
      <c r="L875" s="2" t="str">
        <f t="shared" si="86"/>
        <v>Sharp Price Decrease</v>
      </c>
      <c r="M875" s="2" t="str">
        <f t="shared" si="87"/>
        <v>Normal</v>
      </c>
      <c r="N875" s="2" t="str">
        <f t="shared" si="88"/>
        <v>No</v>
      </c>
    </row>
    <row r="876" spans="1:14" x14ac:dyDescent="0.25">
      <c r="A876" s="3">
        <v>44760</v>
      </c>
      <c r="B876" s="4">
        <v>2022</v>
      </c>
      <c r="C876" s="5">
        <v>1575</v>
      </c>
      <c r="D876" s="5">
        <v>1595</v>
      </c>
      <c r="E876" s="5">
        <v>1550</v>
      </c>
      <c r="F876" s="5">
        <v>1560</v>
      </c>
      <c r="G876" s="5">
        <v>1316.79</v>
      </c>
      <c r="H876" s="6">
        <v>137279400</v>
      </c>
      <c r="I876" s="22" t="str">
        <f t="shared" si="89"/>
        <v>+</v>
      </c>
      <c r="J876" s="7">
        <f t="shared" si="90"/>
        <v>1.2987012987012987</v>
      </c>
      <c r="K876" s="7">
        <f t="shared" si="91"/>
        <v>-39.699047383103796</v>
      </c>
      <c r="L876" s="2" t="str">
        <f t="shared" si="86"/>
        <v>Normal</v>
      </c>
      <c r="M876" s="2" t="str">
        <f t="shared" si="87"/>
        <v>Normal</v>
      </c>
      <c r="N876" s="2" t="str">
        <f t="shared" si="88"/>
        <v>No</v>
      </c>
    </row>
    <row r="877" spans="1:14" x14ac:dyDescent="0.25">
      <c r="A877" s="3">
        <v>44761</v>
      </c>
      <c r="B877" s="4">
        <v>2022</v>
      </c>
      <c r="C877" s="5">
        <v>1580</v>
      </c>
      <c r="D877" s="5">
        <v>1665</v>
      </c>
      <c r="E877" s="5">
        <v>1575</v>
      </c>
      <c r="F877" s="5">
        <v>1655</v>
      </c>
      <c r="G877" s="5">
        <v>1396.98</v>
      </c>
      <c r="H877" s="6">
        <v>159974800</v>
      </c>
      <c r="I877" s="22" t="str">
        <f t="shared" si="89"/>
        <v>+</v>
      </c>
      <c r="J877" s="7">
        <f t="shared" si="90"/>
        <v>6.0897435897435894</v>
      </c>
      <c r="K877" s="7">
        <f t="shared" si="91"/>
        <v>16.532269226118412</v>
      </c>
      <c r="L877" s="2" t="str">
        <f t="shared" si="86"/>
        <v>Sharp Price Increase</v>
      </c>
      <c r="M877" s="2" t="str">
        <f t="shared" si="87"/>
        <v>Normal</v>
      </c>
      <c r="N877" s="2" t="str">
        <f t="shared" si="88"/>
        <v>No</v>
      </c>
    </row>
    <row r="878" spans="1:14" x14ac:dyDescent="0.25">
      <c r="A878" s="3">
        <v>44762</v>
      </c>
      <c r="B878" s="4">
        <v>2022</v>
      </c>
      <c r="C878" s="5">
        <v>1680</v>
      </c>
      <c r="D878" s="5">
        <v>1700</v>
      </c>
      <c r="E878" s="5">
        <v>1670</v>
      </c>
      <c r="F878" s="5">
        <v>1695</v>
      </c>
      <c r="G878" s="5">
        <v>1430.74</v>
      </c>
      <c r="H878" s="6">
        <v>110080500</v>
      </c>
      <c r="I878" s="22" t="str">
        <f t="shared" si="89"/>
        <v>+</v>
      </c>
      <c r="J878" s="7">
        <f t="shared" si="90"/>
        <v>2.416918429003021</v>
      </c>
      <c r="K878" s="7">
        <f t="shared" si="91"/>
        <v>-31.188849743834652</v>
      </c>
      <c r="L878" s="2" t="str">
        <f t="shared" si="86"/>
        <v>Normal</v>
      </c>
      <c r="M878" s="2" t="str">
        <f t="shared" si="87"/>
        <v>Normal</v>
      </c>
      <c r="N878" s="2" t="str">
        <f t="shared" si="88"/>
        <v>No</v>
      </c>
    </row>
    <row r="879" spans="1:14" x14ac:dyDescent="0.25">
      <c r="A879" s="3">
        <v>44763</v>
      </c>
      <c r="B879" s="4">
        <v>2022</v>
      </c>
      <c r="C879" s="5">
        <v>1695</v>
      </c>
      <c r="D879" s="5">
        <v>1710</v>
      </c>
      <c r="E879" s="5">
        <v>1665</v>
      </c>
      <c r="F879" s="5">
        <v>1675</v>
      </c>
      <c r="G879" s="5">
        <v>1413.86</v>
      </c>
      <c r="H879" s="6">
        <v>49659100</v>
      </c>
      <c r="I879" s="22" t="str">
        <f t="shared" si="89"/>
        <v>-</v>
      </c>
      <c r="J879" s="7">
        <f t="shared" si="90"/>
        <v>-1.1799410029498525</v>
      </c>
      <c r="K879" s="7">
        <f t="shared" si="91"/>
        <v>-54.888377142182307</v>
      </c>
      <c r="L879" s="2" t="str">
        <f t="shared" si="86"/>
        <v>Normal</v>
      </c>
      <c r="M879" s="2" t="str">
        <f t="shared" si="87"/>
        <v>Normal</v>
      </c>
      <c r="N879" s="2" t="str">
        <f t="shared" si="88"/>
        <v>No</v>
      </c>
    </row>
    <row r="880" spans="1:14" x14ac:dyDescent="0.25">
      <c r="A880" s="3">
        <v>44764</v>
      </c>
      <c r="B880" s="4">
        <v>2022</v>
      </c>
      <c r="C880" s="5">
        <v>1690</v>
      </c>
      <c r="D880" s="5">
        <v>1785</v>
      </c>
      <c r="E880" s="5">
        <v>1690</v>
      </c>
      <c r="F880" s="5">
        <v>1780</v>
      </c>
      <c r="G880" s="5">
        <v>1502.49</v>
      </c>
      <c r="H880" s="6">
        <v>129865600</v>
      </c>
      <c r="I880" s="22" t="str">
        <f t="shared" si="89"/>
        <v>+</v>
      </c>
      <c r="J880" s="7">
        <f t="shared" si="90"/>
        <v>6.2686567164179099</v>
      </c>
      <c r="K880" s="7">
        <f t="shared" si="91"/>
        <v>161.51420384179335</v>
      </c>
      <c r="L880" s="2" t="str">
        <f t="shared" si="86"/>
        <v>Sharp Price Increase</v>
      </c>
      <c r="M880" s="2" t="str">
        <f t="shared" si="87"/>
        <v>Normal</v>
      </c>
      <c r="N880" s="2" t="str">
        <f t="shared" si="88"/>
        <v>No</v>
      </c>
    </row>
    <row r="881" spans="1:14" x14ac:dyDescent="0.25">
      <c r="A881" s="3">
        <v>44767</v>
      </c>
      <c r="B881" s="4">
        <v>2022</v>
      </c>
      <c r="C881" s="5">
        <v>1800</v>
      </c>
      <c r="D881" s="5">
        <v>1825</v>
      </c>
      <c r="E881" s="5">
        <v>1735</v>
      </c>
      <c r="F881" s="5">
        <v>1755</v>
      </c>
      <c r="G881" s="5">
        <v>1481.39</v>
      </c>
      <c r="H881" s="6">
        <v>105812300</v>
      </c>
      <c r="I881" s="22" t="str">
        <f t="shared" si="89"/>
        <v>-</v>
      </c>
      <c r="J881" s="7">
        <f t="shared" si="90"/>
        <v>-1.4044943820224718</v>
      </c>
      <c r="K881" s="7">
        <f t="shared" si="91"/>
        <v>-18.521687036443833</v>
      </c>
      <c r="L881" s="2" t="str">
        <f t="shared" si="86"/>
        <v>Normal</v>
      </c>
      <c r="M881" s="2" t="str">
        <f t="shared" si="87"/>
        <v>Normal</v>
      </c>
      <c r="N881" s="2" t="str">
        <f t="shared" si="88"/>
        <v>No</v>
      </c>
    </row>
    <row r="882" spans="1:14" x14ac:dyDescent="0.25">
      <c r="A882" s="3">
        <v>44768</v>
      </c>
      <c r="B882" s="4">
        <v>2022</v>
      </c>
      <c r="C882" s="5">
        <v>1755</v>
      </c>
      <c r="D882" s="5">
        <v>1800</v>
      </c>
      <c r="E882" s="5">
        <v>1755</v>
      </c>
      <c r="F882" s="5">
        <v>1790</v>
      </c>
      <c r="G882" s="5">
        <v>1510.93</v>
      </c>
      <c r="H882" s="6">
        <v>63350000</v>
      </c>
      <c r="I882" s="22" t="str">
        <f t="shared" si="89"/>
        <v>+</v>
      </c>
      <c r="J882" s="7">
        <f t="shared" si="90"/>
        <v>1.9943019943019942</v>
      </c>
      <c r="K882" s="7">
        <f t="shared" si="91"/>
        <v>-40.129833677181196</v>
      </c>
      <c r="L882" s="2" t="str">
        <f t="shared" si="86"/>
        <v>Normal</v>
      </c>
      <c r="M882" s="2" t="str">
        <f t="shared" si="87"/>
        <v>Normal</v>
      </c>
      <c r="N882" s="2" t="str">
        <f t="shared" si="88"/>
        <v>No</v>
      </c>
    </row>
    <row r="883" spans="1:14" x14ac:dyDescent="0.25">
      <c r="A883" s="3">
        <v>44769</v>
      </c>
      <c r="B883" s="4">
        <v>2022</v>
      </c>
      <c r="C883" s="5">
        <v>1780</v>
      </c>
      <c r="D883" s="5">
        <v>1790</v>
      </c>
      <c r="E883" s="5">
        <v>1770</v>
      </c>
      <c r="F883" s="5">
        <v>1785</v>
      </c>
      <c r="G883" s="5">
        <v>1506.71</v>
      </c>
      <c r="H883" s="6">
        <v>33964700</v>
      </c>
      <c r="I883" s="22" t="str">
        <f t="shared" si="89"/>
        <v>-</v>
      </c>
      <c r="J883" s="7">
        <f t="shared" si="90"/>
        <v>-0.27932960893854747</v>
      </c>
      <c r="K883" s="7">
        <f t="shared" si="91"/>
        <v>-46.385635359116023</v>
      </c>
      <c r="L883" s="2" t="str">
        <f t="shared" si="86"/>
        <v>Normal</v>
      </c>
      <c r="M883" s="2" t="str">
        <f t="shared" si="87"/>
        <v>Normal</v>
      </c>
      <c r="N883" s="2" t="str">
        <f t="shared" si="88"/>
        <v>No</v>
      </c>
    </row>
    <row r="884" spans="1:14" x14ac:dyDescent="0.25">
      <c r="A884" s="3">
        <v>44770</v>
      </c>
      <c r="B884" s="4">
        <v>2022</v>
      </c>
      <c r="C884" s="5">
        <v>1815</v>
      </c>
      <c r="D884" s="5">
        <v>2030</v>
      </c>
      <c r="E884" s="5">
        <v>1805</v>
      </c>
      <c r="F884" s="5">
        <v>2000</v>
      </c>
      <c r="G884" s="5">
        <v>1688.19</v>
      </c>
      <c r="H884" s="6">
        <v>342364100</v>
      </c>
      <c r="I884" s="22" t="str">
        <f t="shared" si="89"/>
        <v>+</v>
      </c>
      <c r="J884" s="7">
        <f t="shared" si="90"/>
        <v>12.044817927170868</v>
      </c>
      <c r="K884" s="7">
        <f t="shared" si="91"/>
        <v>907.9997762382709</v>
      </c>
      <c r="L884" s="2" t="str">
        <f t="shared" si="86"/>
        <v>Sharp Price Increase</v>
      </c>
      <c r="M884" s="2" t="str">
        <f t="shared" si="87"/>
        <v>Sharp Volume Increase</v>
      </c>
      <c r="N884" s="2" t="str">
        <f t="shared" si="88"/>
        <v>Yes</v>
      </c>
    </row>
    <row r="885" spans="1:14" x14ac:dyDescent="0.25">
      <c r="A885" s="3">
        <v>44771</v>
      </c>
      <c r="B885" s="4">
        <v>2022</v>
      </c>
      <c r="C885" s="5">
        <v>2020</v>
      </c>
      <c r="D885" s="5">
        <v>2070</v>
      </c>
      <c r="E885" s="5">
        <v>1945</v>
      </c>
      <c r="F885" s="5">
        <v>1955</v>
      </c>
      <c r="G885" s="5">
        <v>1650.21</v>
      </c>
      <c r="H885" s="6">
        <v>152840800</v>
      </c>
      <c r="I885" s="22" t="str">
        <f t="shared" si="89"/>
        <v>-</v>
      </c>
      <c r="J885" s="7">
        <f t="shared" si="90"/>
        <v>-2.25</v>
      </c>
      <c r="K885" s="7">
        <f t="shared" si="91"/>
        <v>-55.35723517740324</v>
      </c>
      <c r="L885" s="2" t="str">
        <f t="shared" si="86"/>
        <v>Normal</v>
      </c>
      <c r="M885" s="2" t="str">
        <f t="shared" si="87"/>
        <v>Normal</v>
      </c>
      <c r="N885" s="2" t="str">
        <f t="shared" si="88"/>
        <v>No</v>
      </c>
    </row>
    <row r="886" spans="1:14" x14ac:dyDescent="0.25">
      <c r="A886" s="3">
        <v>44774</v>
      </c>
      <c r="B886" s="4">
        <v>2022</v>
      </c>
      <c r="C886" s="5">
        <v>2030</v>
      </c>
      <c r="D886" s="5">
        <v>2100</v>
      </c>
      <c r="E886" s="5">
        <v>1990</v>
      </c>
      <c r="F886" s="5">
        <v>2080</v>
      </c>
      <c r="G886" s="5">
        <v>1755.72</v>
      </c>
      <c r="H886" s="6">
        <v>243188600</v>
      </c>
      <c r="I886" s="22" t="str">
        <f t="shared" si="89"/>
        <v>+</v>
      </c>
      <c r="J886" s="7">
        <f t="shared" si="90"/>
        <v>6.3938618925831205</v>
      </c>
      <c r="K886" s="7">
        <f t="shared" si="91"/>
        <v>59.112357433355491</v>
      </c>
      <c r="L886" s="2" t="str">
        <f t="shared" si="86"/>
        <v>Sharp Price Increase</v>
      </c>
      <c r="M886" s="2" t="str">
        <f t="shared" si="87"/>
        <v>Normal</v>
      </c>
      <c r="N886" s="2" t="str">
        <f t="shared" si="88"/>
        <v>No</v>
      </c>
    </row>
    <row r="887" spans="1:14" x14ac:dyDescent="0.25">
      <c r="A887" s="3">
        <v>44775</v>
      </c>
      <c r="B887" s="4">
        <v>2022</v>
      </c>
      <c r="C887" s="5">
        <v>2080</v>
      </c>
      <c r="D887" s="5">
        <v>2080</v>
      </c>
      <c r="E887" s="5">
        <v>1990</v>
      </c>
      <c r="F887" s="5">
        <v>1995</v>
      </c>
      <c r="G887" s="5">
        <v>1683.97</v>
      </c>
      <c r="H887" s="6">
        <v>150196700</v>
      </c>
      <c r="I887" s="22" t="str">
        <f t="shared" si="89"/>
        <v>-</v>
      </c>
      <c r="J887" s="7">
        <f t="shared" si="90"/>
        <v>-4.0865384615384617</v>
      </c>
      <c r="K887" s="7">
        <f t="shared" si="91"/>
        <v>-38.238593420908714</v>
      </c>
      <c r="L887" s="2" t="str">
        <f t="shared" si="86"/>
        <v>Normal</v>
      </c>
      <c r="M887" s="2" t="str">
        <f t="shared" si="87"/>
        <v>Normal</v>
      </c>
      <c r="N887" s="2" t="str">
        <f t="shared" si="88"/>
        <v>No</v>
      </c>
    </row>
    <row r="888" spans="1:14" x14ac:dyDescent="0.25">
      <c r="A888" s="3">
        <v>44776</v>
      </c>
      <c r="B888" s="4">
        <v>2022</v>
      </c>
      <c r="C888" s="5">
        <v>1975</v>
      </c>
      <c r="D888" s="5">
        <v>1990</v>
      </c>
      <c r="E888" s="5">
        <v>1915</v>
      </c>
      <c r="F888" s="5">
        <v>1970</v>
      </c>
      <c r="G888" s="5">
        <v>1662.87</v>
      </c>
      <c r="H888" s="6">
        <v>102367400</v>
      </c>
      <c r="I888" s="22" t="str">
        <f t="shared" si="89"/>
        <v>-</v>
      </c>
      <c r="J888" s="7">
        <f t="shared" si="90"/>
        <v>-1.2531328320802004</v>
      </c>
      <c r="K888" s="7">
        <f t="shared" si="91"/>
        <v>-31.844441322612283</v>
      </c>
      <c r="L888" s="2" t="str">
        <f t="shared" si="86"/>
        <v>Normal</v>
      </c>
      <c r="M888" s="2" t="str">
        <f t="shared" si="87"/>
        <v>Normal</v>
      </c>
      <c r="N888" s="2" t="str">
        <f t="shared" si="88"/>
        <v>No</v>
      </c>
    </row>
    <row r="889" spans="1:14" x14ac:dyDescent="0.25">
      <c r="A889" s="3">
        <v>44777</v>
      </c>
      <c r="B889" s="4">
        <v>2022</v>
      </c>
      <c r="C889" s="5">
        <v>1980</v>
      </c>
      <c r="D889" s="5">
        <v>2020</v>
      </c>
      <c r="E889" s="5">
        <v>1950</v>
      </c>
      <c r="F889" s="5">
        <v>1970</v>
      </c>
      <c r="G889" s="5">
        <v>1662.87</v>
      </c>
      <c r="H889" s="6">
        <v>76571800</v>
      </c>
      <c r="I889" s="22" t="str">
        <f t="shared" si="89"/>
        <v>0</v>
      </c>
      <c r="J889" s="7">
        <f t="shared" si="90"/>
        <v>0</v>
      </c>
      <c r="K889" s="7">
        <f t="shared" si="91"/>
        <v>-25.199037974980314</v>
      </c>
      <c r="L889" s="2" t="str">
        <f t="shared" si="86"/>
        <v>Normal</v>
      </c>
      <c r="M889" s="2" t="str">
        <f t="shared" si="87"/>
        <v>Normal</v>
      </c>
      <c r="N889" s="2" t="str">
        <f t="shared" si="88"/>
        <v>No</v>
      </c>
    </row>
    <row r="890" spans="1:14" x14ac:dyDescent="0.25">
      <c r="A890" s="3">
        <v>44778</v>
      </c>
      <c r="B890" s="4">
        <v>2022</v>
      </c>
      <c r="C890" s="5">
        <v>2000</v>
      </c>
      <c r="D890" s="5">
        <v>2030</v>
      </c>
      <c r="E890" s="5">
        <v>1970</v>
      </c>
      <c r="F890" s="5">
        <v>2020</v>
      </c>
      <c r="G890" s="5">
        <v>1705.07</v>
      </c>
      <c r="H890" s="6">
        <v>85399300</v>
      </c>
      <c r="I890" s="22" t="str">
        <f t="shared" si="89"/>
        <v>+</v>
      </c>
      <c r="J890" s="7">
        <f t="shared" si="90"/>
        <v>2.5380710659898478</v>
      </c>
      <c r="K890" s="7">
        <f t="shared" si="91"/>
        <v>11.528395571215514</v>
      </c>
      <c r="L890" s="2" t="str">
        <f t="shared" si="86"/>
        <v>Normal</v>
      </c>
      <c r="M890" s="2" t="str">
        <f t="shared" si="87"/>
        <v>Normal</v>
      </c>
      <c r="N890" s="2" t="str">
        <f t="shared" si="88"/>
        <v>No</v>
      </c>
    </row>
    <row r="891" spans="1:14" x14ac:dyDescent="0.25">
      <c r="A891" s="3">
        <v>44781</v>
      </c>
      <c r="B891" s="4">
        <v>2022</v>
      </c>
      <c r="C891" s="5">
        <v>2010</v>
      </c>
      <c r="D891" s="5">
        <v>2070</v>
      </c>
      <c r="E891" s="5">
        <v>1985</v>
      </c>
      <c r="F891" s="5">
        <v>2060</v>
      </c>
      <c r="G891" s="5">
        <v>1738.84</v>
      </c>
      <c r="H891" s="6">
        <v>130808300</v>
      </c>
      <c r="I891" s="22" t="str">
        <f t="shared" si="89"/>
        <v>+</v>
      </c>
      <c r="J891" s="7">
        <f t="shared" si="90"/>
        <v>1.9801980198019802</v>
      </c>
      <c r="K891" s="7">
        <f t="shared" si="91"/>
        <v>53.172566988253998</v>
      </c>
      <c r="L891" s="2" t="str">
        <f t="shared" si="86"/>
        <v>Normal</v>
      </c>
      <c r="M891" s="2" t="str">
        <f t="shared" si="87"/>
        <v>Normal</v>
      </c>
      <c r="N891" s="2" t="str">
        <f t="shared" si="88"/>
        <v>No</v>
      </c>
    </row>
    <row r="892" spans="1:14" x14ac:dyDescent="0.25">
      <c r="A892" s="3">
        <v>44782</v>
      </c>
      <c r="B892" s="4">
        <v>2022</v>
      </c>
      <c r="C892" s="5">
        <v>2080</v>
      </c>
      <c r="D892" s="5">
        <v>2230</v>
      </c>
      <c r="E892" s="5">
        <v>2070</v>
      </c>
      <c r="F892" s="5">
        <v>2180</v>
      </c>
      <c r="G892" s="5">
        <v>1840.13</v>
      </c>
      <c r="H892" s="6">
        <v>405818700</v>
      </c>
      <c r="I892" s="22" t="str">
        <f t="shared" si="89"/>
        <v>+</v>
      </c>
      <c r="J892" s="7">
        <f t="shared" si="90"/>
        <v>5.825242718446602</v>
      </c>
      <c r="K892" s="7">
        <f t="shared" si="91"/>
        <v>210.23925851799925</v>
      </c>
      <c r="L892" s="2" t="str">
        <f t="shared" si="86"/>
        <v>Sharp Price Increase</v>
      </c>
      <c r="M892" s="2" t="str">
        <f t="shared" si="87"/>
        <v>Sharp Volume Increase</v>
      </c>
      <c r="N892" s="2" t="str">
        <f t="shared" si="88"/>
        <v>Yes</v>
      </c>
    </row>
    <row r="893" spans="1:14" x14ac:dyDescent="0.25">
      <c r="A893" s="3">
        <v>44783</v>
      </c>
      <c r="B893" s="4">
        <v>2022</v>
      </c>
      <c r="C893" s="5">
        <v>2180</v>
      </c>
      <c r="D893" s="5">
        <v>2180</v>
      </c>
      <c r="E893" s="5">
        <v>2110</v>
      </c>
      <c r="F893" s="5">
        <v>2120</v>
      </c>
      <c r="G893" s="5">
        <v>1789.48</v>
      </c>
      <c r="H893" s="6">
        <v>148697800</v>
      </c>
      <c r="I893" s="22" t="str">
        <f t="shared" si="89"/>
        <v>-</v>
      </c>
      <c r="J893" s="7">
        <f t="shared" si="90"/>
        <v>-2.7522935779816518</v>
      </c>
      <c r="K893" s="7">
        <f t="shared" si="91"/>
        <v>-63.358563811869686</v>
      </c>
      <c r="L893" s="2" t="str">
        <f t="shared" si="86"/>
        <v>Normal</v>
      </c>
      <c r="M893" s="2" t="str">
        <f t="shared" si="87"/>
        <v>Sharp Volume Decrease</v>
      </c>
      <c r="N893" s="2" t="str">
        <f t="shared" si="88"/>
        <v>No</v>
      </c>
    </row>
    <row r="894" spans="1:14" x14ac:dyDescent="0.25">
      <c r="A894" s="3">
        <v>44784</v>
      </c>
      <c r="B894" s="4">
        <v>2022</v>
      </c>
      <c r="C894" s="5">
        <v>2200</v>
      </c>
      <c r="D894" s="5">
        <v>2270</v>
      </c>
      <c r="E894" s="5">
        <v>2180</v>
      </c>
      <c r="F894" s="5">
        <v>2240</v>
      </c>
      <c r="G894" s="5">
        <v>1890.77</v>
      </c>
      <c r="H894" s="6">
        <v>278414000</v>
      </c>
      <c r="I894" s="22" t="str">
        <f t="shared" si="89"/>
        <v>+</v>
      </c>
      <c r="J894" s="7">
        <f t="shared" si="90"/>
        <v>5.6603773584905666</v>
      </c>
      <c r="K894" s="7">
        <f t="shared" si="91"/>
        <v>87.234780877726507</v>
      </c>
      <c r="L894" s="2" t="str">
        <f t="shared" si="86"/>
        <v>Sharp Price Increase</v>
      </c>
      <c r="M894" s="2" t="str">
        <f t="shared" si="87"/>
        <v>Normal</v>
      </c>
      <c r="N894" s="2" t="str">
        <f t="shared" si="88"/>
        <v>No</v>
      </c>
    </row>
    <row r="895" spans="1:14" x14ac:dyDescent="0.25">
      <c r="A895" s="3">
        <v>44785</v>
      </c>
      <c r="B895" s="4">
        <v>2022</v>
      </c>
      <c r="C895" s="5">
        <v>2240</v>
      </c>
      <c r="D895" s="5">
        <v>2270</v>
      </c>
      <c r="E895" s="5">
        <v>2210</v>
      </c>
      <c r="F895" s="5">
        <v>2220</v>
      </c>
      <c r="G895" s="5">
        <v>1873.89</v>
      </c>
      <c r="H895" s="6">
        <v>121265600</v>
      </c>
      <c r="I895" s="22" t="str">
        <f t="shared" si="89"/>
        <v>-</v>
      </c>
      <c r="J895" s="7">
        <f t="shared" si="90"/>
        <v>-0.89285714285714279</v>
      </c>
      <c r="K895" s="7">
        <f t="shared" si="91"/>
        <v>-56.4441443318224</v>
      </c>
      <c r="L895" s="2" t="str">
        <f t="shared" si="86"/>
        <v>Normal</v>
      </c>
      <c r="M895" s="2" t="str">
        <f t="shared" si="87"/>
        <v>Normal</v>
      </c>
      <c r="N895" s="2" t="str">
        <f t="shared" si="88"/>
        <v>No</v>
      </c>
    </row>
    <row r="896" spans="1:14" x14ac:dyDescent="0.25">
      <c r="A896" s="3">
        <v>44788</v>
      </c>
      <c r="B896" s="4">
        <v>2022</v>
      </c>
      <c r="C896" s="5">
        <v>2230</v>
      </c>
      <c r="D896" s="5">
        <v>2240</v>
      </c>
      <c r="E896" s="5">
        <v>2120</v>
      </c>
      <c r="F896" s="5">
        <v>2130</v>
      </c>
      <c r="G896" s="5">
        <v>1797.92</v>
      </c>
      <c r="H896" s="6">
        <v>111112000</v>
      </c>
      <c r="I896" s="22" t="str">
        <f t="shared" si="89"/>
        <v>-</v>
      </c>
      <c r="J896" s="7">
        <f t="shared" si="90"/>
        <v>-4.0540540540540544</v>
      </c>
      <c r="K896" s="7">
        <f t="shared" si="91"/>
        <v>-8.3730258210077704</v>
      </c>
      <c r="L896" s="2" t="str">
        <f t="shared" si="86"/>
        <v>Normal</v>
      </c>
      <c r="M896" s="2" t="str">
        <f t="shared" si="87"/>
        <v>Normal</v>
      </c>
      <c r="N896" s="2" t="str">
        <f t="shared" si="88"/>
        <v>No</v>
      </c>
    </row>
    <row r="897" spans="1:14" x14ac:dyDescent="0.25">
      <c r="A897" s="3">
        <v>44789</v>
      </c>
      <c r="B897" s="4">
        <v>2022</v>
      </c>
      <c r="C897" s="5">
        <v>2130</v>
      </c>
      <c r="D897" s="5">
        <v>2140</v>
      </c>
      <c r="E897" s="5">
        <v>2070</v>
      </c>
      <c r="F897" s="5">
        <v>2080</v>
      </c>
      <c r="G897" s="5">
        <v>1755.72</v>
      </c>
      <c r="H897" s="6">
        <v>117043800</v>
      </c>
      <c r="I897" s="22" t="str">
        <f t="shared" si="89"/>
        <v>-</v>
      </c>
      <c r="J897" s="7">
        <f t="shared" si="90"/>
        <v>-2.3474178403755865</v>
      </c>
      <c r="K897" s="7">
        <f t="shared" si="91"/>
        <v>5.3385772913816689</v>
      </c>
      <c r="L897" s="2" t="str">
        <f t="shared" si="86"/>
        <v>Normal</v>
      </c>
      <c r="M897" s="2" t="str">
        <f t="shared" si="87"/>
        <v>Normal</v>
      </c>
      <c r="N897" s="2" t="str">
        <f t="shared" si="88"/>
        <v>No</v>
      </c>
    </row>
    <row r="898" spans="1:14" x14ac:dyDescent="0.25">
      <c r="A898" s="3">
        <v>44791</v>
      </c>
      <c r="B898" s="4">
        <v>2022</v>
      </c>
      <c r="C898" s="5">
        <v>2070</v>
      </c>
      <c r="D898" s="5">
        <v>2110</v>
      </c>
      <c r="E898" s="5">
        <v>2030</v>
      </c>
      <c r="F898" s="5">
        <v>2050</v>
      </c>
      <c r="G898" s="5">
        <v>1730.4</v>
      </c>
      <c r="H898" s="6">
        <v>116651400</v>
      </c>
      <c r="I898" s="22" t="str">
        <f t="shared" si="89"/>
        <v>-</v>
      </c>
      <c r="J898" s="7">
        <f t="shared" si="90"/>
        <v>-1.4423076923076923</v>
      </c>
      <c r="K898" s="7">
        <f t="shared" si="91"/>
        <v>-0.33525910812875181</v>
      </c>
      <c r="L898" s="2" t="str">
        <f t="shared" si="86"/>
        <v>Normal</v>
      </c>
      <c r="M898" s="2" t="str">
        <f t="shared" si="87"/>
        <v>Normal</v>
      </c>
      <c r="N898" s="2" t="str">
        <f t="shared" si="88"/>
        <v>No</v>
      </c>
    </row>
    <row r="899" spans="1:14" x14ac:dyDescent="0.25">
      <c r="A899" s="3">
        <v>44792</v>
      </c>
      <c r="B899" s="4">
        <v>2022</v>
      </c>
      <c r="C899" s="5">
        <v>2050</v>
      </c>
      <c r="D899" s="5">
        <v>2090</v>
      </c>
      <c r="E899" s="5">
        <v>2030</v>
      </c>
      <c r="F899" s="5">
        <v>2060</v>
      </c>
      <c r="G899" s="5">
        <v>1738.84</v>
      </c>
      <c r="H899" s="6">
        <v>101507400</v>
      </c>
      <c r="I899" s="22" t="str">
        <f t="shared" si="89"/>
        <v>+</v>
      </c>
      <c r="J899" s="7">
        <f t="shared" si="90"/>
        <v>0.48780487804878048</v>
      </c>
      <c r="K899" s="7">
        <f t="shared" si="91"/>
        <v>-12.982270251364323</v>
      </c>
      <c r="L899" s="2" t="str">
        <f t="shared" ref="L899:L962" si="92">IFERROR(IF(OR(J899="",ISBLANK(J899)),"Normal",IF(J899&lt;=$U$6,"Sharp Price Decrease",IF(J899&gt;=$U$7,"Sharp Price Increase","Normal"))),"Normal")</f>
        <v>Normal</v>
      </c>
      <c r="M899" s="2" t="str">
        <f t="shared" ref="M899:M962" si="93">IFERROR(IF(OR(K899="",ISBLANK(K899)),"Normal",IF(K899&lt;=$U$8,"Sharp Volume Decrease",IF(K899&gt;=$U$9,"Sharp Volume Increase","Normal"))),"Normal")</f>
        <v>Normal</v>
      </c>
      <c r="N899" s="2" t="str">
        <f t="shared" ref="N899:N962" si="94">IFERROR(IF(AND(OR(L899="Sharp Price Increase",L899="Sharp Price Decrease"),OR(M899="Sharp Volume Increase",M899="Sharp Volume Decrease")),"Yes","No"),"No")</f>
        <v>No</v>
      </c>
    </row>
    <row r="900" spans="1:14" x14ac:dyDescent="0.25">
      <c r="A900" s="3">
        <v>44795</v>
      </c>
      <c r="B900" s="4">
        <v>2022</v>
      </c>
      <c r="C900" s="5">
        <v>2060</v>
      </c>
      <c r="D900" s="5">
        <v>2070</v>
      </c>
      <c r="E900" s="5">
        <v>1980</v>
      </c>
      <c r="F900" s="5">
        <v>1985</v>
      </c>
      <c r="G900" s="5">
        <v>1675.53</v>
      </c>
      <c r="H900" s="6">
        <v>140299600</v>
      </c>
      <c r="I900" s="22" t="str">
        <f t="shared" ref="I900:I963" si="95">IFERROR(IF(OR(F899="",F900=""),"",IF(F900-F899&lt;0,"-",IF(F900-F899&gt;0,"+","0"))),"")</f>
        <v>-</v>
      </c>
      <c r="J900" s="7">
        <f t="shared" ref="J900:J963" si="96">(F900-F899)/F899*100</f>
        <v>-3.6407766990291259</v>
      </c>
      <c r="K900" s="7">
        <f t="shared" ref="K900:K963" si="97">(H900-H899)/H899*100</f>
        <v>38.216130055542749</v>
      </c>
      <c r="L900" s="2" t="str">
        <f t="shared" si="92"/>
        <v>Normal</v>
      </c>
      <c r="M900" s="2" t="str">
        <f t="shared" si="93"/>
        <v>Normal</v>
      </c>
      <c r="N900" s="2" t="str">
        <f t="shared" si="94"/>
        <v>No</v>
      </c>
    </row>
    <row r="901" spans="1:14" x14ac:dyDescent="0.25">
      <c r="A901" s="3">
        <v>44796</v>
      </c>
      <c r="B901" s="4">
        <v>2022</v>
      </c>
      <c r="C901" s="5">
        <v>1985</v>
      </c>
      <c r="D901" s="5">
        <v>2050</v>
      </c>
      <c r="E901" s="5">
        <v>1965</v>
      </c>
      <c r="F901" s="5">
        <v>2030</v>
      </c>
      <c r="G901" s="5">
        <v>1713.51</v>
      </c>
      <c r="H901" s="6">
        <v>87682800</v>
      </c>
      <c r="I901" s="22" t="str">
        <f t="shared" si="95"/>
        <v>+</v>
      </c>
      <c r="J901" s="7">
        <f t="shared" si="96"/>
        <v>2.2670025188916876</v>
      </c>
      <c r="K901" s="7">
        <f t="shared" si="97"/>
        <v>-37.503171783811219</v>
      </c>
      <c r="L901" s="2" t="str">
        <f t="shared" si="92"/>
        <v>Normal</v>
      </c>
      <c r="M901" s="2" t="str">
        <f t="shared" si="93"/>
        <v>Normal</v>
      </c>
      <c r="N901" s="2" t="str">
        <f t="shared" si="94"/>
        <v>No</v>
      </c>
    </row>
    <row r="902" spans="1:14" x14ac:dyDescent="0.25">
      <c r="A902" s="3">
        <v>44797</v>
      </c>
      <c r="B902" s="4">
        <v>2022</v>
      </c>
      <c r="C902" s="5">
        <v>2020</v>
      </c>
      <c r="D902" s="5">
        <v>2040</v>
      </c>
      <c r="E902" s="5">
        <v>2000</v>
      </c>
      <c r="F902" s="5">
        <v>2010</v>
      </c>
      <c r="G902" s="5">
        <v>1696.63</v>
      </c>
      <c r="H902" s="6">
        <v>54617900</v>
      </c>
      <c r="I902" s="22" t="str">
        <f t="shared" si="95"/>
        <v>-</v>
      </c>
      <c r="J902" s="7">
        <f t="shared" si="96"/>
        <v>-0.98522167487684731</v>
      </c>
      <c r="K902" s="7">
        <f t="shared" si="97"/>
        <v>-37.709676242090815</v>
      </c>
      <c r="L902" s="2" t="str">
        <f t="shared" si="92"/>
        <v>Normal</v>
      </c>
      <c r="M902" s="2" t="str">
        <f t="shared" si="93"/>
        <v>Normal</v>
      </c>
      <c r="N902" s="2" t="str">
        <f t="shared" si="94"/>
        <v>No</v>
      </c>
    </row>
    <row r="903" spans="1:14" x14ac:dyDescent="0.25">
      <c r="A903" s="3">
        <v>44798</v>
      </c>
      <c r="B903" s="4">
        <v>2022</v>
      </c>
      <c r="C903" s="5">
        <v>2010</v>
      </c>
      <c r="D903" s="5">
        <v>2040</v>
      </c>
      <c r="E903" s="5">
        <v>1985</v>
      </c>
      <c r="F903" s="5">
        <v>1995</v>
      </c>
      <c r="G903" s="5">
        <v>1683.97</v>
      </c>
      <c r="H903" s="6">
        <v>90209100</v>
      </c>
      <c r="I903" s="22" t="str">
        <f t="shared" si="95"/>
        <v>-</v>
      </c>
      <c r="J903" s="7">
        <f t="shared" si="96"/>
        <v>-0.74626865671641784</v>
      </c>
      <c r="K903" s="7">
        <f t="shared" si="97"/>
        <v>65.163984700986305</v>
      </c>
      <c r="L903" s="2" t="str">
        <f t="shared" si="92"/>
        <v>Normal</v>
      </c>
      <c r="M903" s="2" t="str">
        <f t="shared" si="93"/>
        <v>Normal</v>
      </c>
      <c r="N903" s="2" t="str">
        <f t="shared" si="94"/>
        <v>No</v>
      </c>
    </row>
    <row r="904" spans="1:14" x14ac:dyDescent="0.25">
      <c r="A904" s="3">
        <v>44799</v>
      </c>
      <c r="B904" s="4">
        <v>2022</v>
      </c>
      <c r="C904" s="5">
        <v>1995</v>
      </c>
      <c r="D904" s="5">
        <v>2000</v>
      </c>
      <c r="E904" s="5">
        <v>1955</v>
      </c>
      <c r="F904" s="5">
        <v>1955</v>
      </c>
      <c r="G904" s="5">
        <v>1650.21</v>
      </c>
      <c r="H904" s="6">
        <v>135647800</v>
      </c>
      <c r="I904" s="22" t="str">
        <f t="shared" si="95"/>
        <v>-</v>
      </c>
      <c r="J904" s="7">
        <f t="shared" si="96"/>
        <v>-2.0050125313283207</v>
      </c>
      <c r="K904" s="7">
        <f t="shared" si="97"/>
        <v>50.370417175207379</v>
      </c>
      <c r="L904" s="2" t="str">
        <f t="shared" si="92"/>
        <v>Normal</v>
      </c>
      <c r="M904" s="2" t="str">
        <f t="shared" si="93"/>
        <v>Normal</v>
      </c>
      <c r="N904" s="2" t="str">
        <f t="shared" si="94"/>
        <v>No</v>
      </c>
    </row>
    <row r="905" spans="1:14" x14ac:dyDescent="0.25">
      <c r="A905" s="3">
        <v>44802</v>
      </c>
      <c r="B905" s="4">
        <v>2022</v>
      </c>
      <c r="C905" s="5">
        <v>1920</v>
      </c>
      <c r="D905" s="5">
        <v>1925</v>
      </c>
      <c r="E905" s="5">
        <v>1865</v>
      </c>
      <c r="F905" s="5">
        <v>1900</v>
      </c>
      <c r="G905" s="5">
        <v>1603.78</v>
      </c>
      <c r="H905" s="6">
        <v>117016500</v>
      </c>
      <c r="I905" s="22" t="str">
        <f t="shared" si="95"/>
        <v>-</v>
      </c>
      <c r="J905" s="7">
        <f t="shared" si="96"/>
        <v>-2.8132992327365729</v>
      </c>
      <c r="K905" s="7">
        <f t="shared" si="97"/>
        <v>-13.73505504696722</v>
      </c>
      <c r="L905" s="2" t="str">
        <f t="shared" si="92"/>
        <v>Normal</v>
      </c>
      <c r="M905" s="2" t="str">
        <f t="shared" si="93"/>
        <v>Normal</v>
      </c>
      <c r="N905" s="2" t="str">
        <f t="shared" si="94"/>
        <v>No</v>
      </c>
    </row>
    <row r="906" spans="1:14" x14ac:dyDescent="0.25">
      <c r="A906" s="3">
        <v>44803</v>
      </c>
      <c r="B906" s="4">
        <v>2022</v>
      </c>
      <c r="C906" s="5">
        <v>1920</v>
      </c>
      <c r="D906" s="5">
        <v>2010</v>
      </c>
      <c r="E906" s="5">
        <v>1910</v>
      </c>
      <c r="F906" s="5">
        <v>1985</v>
      </c>
      <c r="G906" s="5">
        <v>1675.53</v>
      </c>
      <c r="H906" s="6">
        <v>139215000</v>
      </c>
      <c r="I906" s="22" t="str">
        <f t="shared" si="95"/>
        <v>+</v>
      </c>
      <c r="J906" s="7">
        <f t="shared" si="96"/>
        <v>4.4736842105263159</v>
      </c>
      <c r="K906" s="7">
        <f t="shared" si="97"/>
        <v>18.970401610029356</v>
      </c>
      <c r="L906" s="2" t="str">
        <f t="shared" si="92"/>
        <v>Normal</v>
      </c>
      <c r="M906" s="2" t="str">
        <f t="shared" si="93"/>
        <v>Normal</v>
      </c>
      <c r="N906" s="2" t="str">
        <f t="shared" si="94"/>
        <v>No</v>
      </c>
    </row>
    <row r="907" spans="1:14" x14ac:dyDescent="0.25">
      <c r="A907" s="3">
        <v>44804</v>
      </c>
      <c r="B907" s="4">
        <v>2022</v>
      </c>
      <c r="C907" s="5">
        <v>1985</v>
      </c>
      <c r="D907" s="5">
        <v>1990</v>
      </c>
      <c r="E907" s="5">
        <v>1925</v>
      </c>
      <c r="F907" s="5">
        <v>1990</v>
      </c>
      <c r="G907" s="5">
        <v>1679.75</v>
      </c>
      <c r="H907" s="6">
        <v>134229100</v>
      </c>
      <c r="I907" s="22" t="str">
        <f t="shared" si="95"/>
        <v>+</v>
      </c>
      <c r="J907" s="7">
        <f t="shared" si="96"/>
        <v>0.25188916876574308</v>
      </c>
      <c r="K907" s="7">
        <f t="shared" si="97"/>
        <v>-3.5814387817404731</v>
      </c>
      <c r="L907" s="2" t="str">
        <f t="shared" si="92"/>
        <v>Normal</v>
      </c>
      <c r="M907" s="2" t="str">
        <f t="shared" si="93"/>
        <v>Normal</v>
      </c>
      <c r="N907" s="2" t="str">
        <f t="shared" si="94"/>
        <v>No</v>
      </c>
    </row>
    <row r="908" spans="1:14" x14ac:dyDescent="0.25">
      <c r="A908" s="3">
        <v>44805</v>
      </c>
      <c r="B908" s="4">
        <v>2022</v>
      </c>
      <c r="C908" s="5">
        <v>1985</v>
      </c>
      <c r="D908" s="5">
        <v>1985</v>
      </c>
      <c r="E908" s="5">
        <v>1930</v>
      </c>
      <c r="F908" s="5">
        <v>1935</v>
      </c>
      <c r="G908" s="5">
        <v>1633.32</v>
      </c>
      <c r="H908" s="6">
        <v>63085900</v>
      </c>
      <c r="I908" s="22" t="str">
        <f t="shared" si="95"/>
        <v>-</v>
      </c>
      <c r="J908" s="7">
        <f t="shared" si="96"/>
        <v>-2.7638190954773871</v>
      </c>
      <c r="K908" s="7">
        <f t="shared" si="97"/>
        <v>-53.001323856004404</v>
      </c>
      <c r="L908" s="2" t="str">
        <f t="shared" si="92"/>
        <v>Normal</v>
      </c>
      <c r="M908" s="2" t="str">
        <f t="shared" si="93"/>
        <v>Normal</v>
      </c>
      <c r="N908" s="2" t="str">
        <f t="shared" si="94"/>
        <v>No</v>
      </c>
    </row>
    <row r="909" spans="1:14" x14ac:dyDescent="0.25">
      <c r="A909" s="3">
        <v>44806</v>
      </c>
      <c r="B909" s="4">
        <v>2022</v>
      </c>
      <c r="C909" s="5">
        <v>1930</v>
      </c>
      <c r="D909" s="5">
        <v>1930</v>
      </c>
      <c r="E909" s="5">
        <v>1900</v>
      </c>
      <c r="F909" s="5">
        <v>1900</v>
      </c>
      <c r="G909" s="5">
        <v>1603.78</v>
      </c>
      <c r="H909" s="6">
        <v>105457000</v>
      </c>
      <c r="I909" s="22" t="str">
        <f t="shared" si="95"/>
        <v>-</v>
      </c>
      <c r="J909" s="7">
        <f t="shared" si="96"/>
        <v>-1.8087855297157622</v>
      </c>
      <c r="K909" s="7">
        <f t="shared" si="97"/>
        <v>67.164136518619856</v>
      </c>
      <c r="L909" s="2" t="str">
        <f t="shared" si="92"/>
        <v>Normal</v>
      </c>
      <c r="M909" s="2" t="str">
        <f t="shared" si="93"/>
        <v>Normal</v>
      </c>
      <c r="N909" s="2" t="str">
        <f t="shared" si="94"/>
        <v>No</v>
      </c>
    </row>
    <row r="910" spans="1:14" x14ac:dyDescent="0.25">
      <c r="A910" s="3">
        <v>44809</v>
      </c>
      <c r="B910" s="4">
        <v>2022</v>
      </c>
      <c r="C910" s="5">
        <v>1880</v>
      </c>
      <c r="D910" s="5">
        <v>1985</v>
      </c>
      <c r="E910" s="5">
        <v>1870</v>
      </c>
      <c r="F910" s="5">
        <v>1970</v>
      </c>
      <c r="G910" s="5">
        <v>1662.87</v>
      </c>
      <c r="H910" s="6">
        <v>131398400</v>
      </c>
      <c r="I910" s="22" t="str">
        <f t="shared" si="95"/>
        <v>+</v>
      </c>
      <c r="J910" s="7">
        <f t="shared" si="96"/>
        <v>3.6842105263157889</v>
      </c>
      <c r="K910" s="7">
        <f t="shared" si="97"/>
        <v>24.599030884625961</v>
      </c>
      <c r="L910" s="2" t="str">
        <f t="shared" si="92"/>
        <v>Normal</v>
      </c>
      <c r="M910" s="2" t="str">
        <f t="shared" si="93"/>
        <v>Normal</v>
      </c>
      <c r="N910" s="2" t="str">
        <f t="shared" si="94"/>
        <v>No</v>
      </c>
    </row>
    <row r="911" spans="1:14" x14ac:dyDescent="0.25">
      <c r="A911" s="3">
        <v>44810</v>
      </c>
      <c r="B911" s="4">
        <v>2022</v>
      </c>
      <c r="C911" s="5">
        <v>2010</v>
      </c>
      <c r="D911" s="5">
        <v>2040</v>
      </c>
      <c r="E911" s="5">
        <v>1975</v>
      </c>
      <c r="F911" s="5">
        <v>1990</v>
      </c>
      <c r="G911" s="5">
        <v>1679.75</v>
      </c>
      <c r="H911" s="6">
        <v>138906100</v>
      </c>
      <c r="I911" s="22" t="str">
        <f t="shared" si="95"/>
        <v>+</v>
      </c>
      <c r="J911" s="7">
        <f t="shared" si="96"/>
        <v>1.015228426395939</v>
      </c>
      <c r="K911" s="7">
        <f t="shared" si="97"/>
        <v>5.7136920997515954</v>
      </c>
      <c r="L911" s="2" t="str">
        <f t="shared" si="92"/>
        <v>Normal</v>
      </c>
      <c r="M911" s="2" t="str">
        <f t="shared" si="93"/>
        <v>Normal</v>
      </c>
      <c r="N911" s="2" t="str">
        <f t="shared" si="94"/>
        <v>No</v>
      </c>
    </row>
    <row r="912" spans="1:14" x14ac:dyDescent="0.25">
      <c r="A912" s="3">
        <v>44811</v>
      </c>
      <c r="B912" s="4">
        <v>2022</v>
      </c>
      <c r="C912" s="5">
        <v>1975</v>
      </c>
      <c r="D912" s="5">
        <v>1990</v>
      </c>
      <c r="E912" s="5">
        <v>1940</v>
      </c>
      <c r="F912" s="5">
        <v>1950</v>
      </c>
      <c r="G912" s="5">
        <v>1645.99</v>
      </c>
      <c r="H912" s="6">
        <v>81794000</v>
      </c>
      <c r="I912" s="22" t="str">
        <f t="shared" si="95"/>
        <v>-</v>
      </c>
      <c r="J912" s="7">
        <f t="shared" si="96"/>
        <v>-2.0100502512562812</v>
      </c>
      <c r="K912" s="7">
        <f t="shared" si="97"/>
        <v>-41.115616952747217</v>
      </c>
      <c r="L912" s="2" t="str">
        <f t="shared" si="92"/>
        <v>Normal</v>
      </c>
      <c r="M912" s="2" t="str">
        <f t="shared" si="93"/>
        <v>Normal</v>
      </c>
      <c r="N912" s="2" t="str">
        <f t="shared" si="94"/>
        <v>No</v>
      </c>
    </row>
    <row r="913" spans="1:14" x14ac:dyDescent="0.25">
      <c r="A913" s="3">
        <v>44812</v>
      </c>
      <c r="B913" s="4">
        <v>2022</v>
      </c>
      <c r="C913" s="5">
        <v>1970</v>
      </c>
      <c r="D913" s="5">
        <v>1975</v>
      </c>
      <c r="E913" s="5">
        <v>1920</v>
      </c>
      <c r="F913" s="5">
        <v>1920</v>
      </c>
      <c r="G913" s="5">
        <v>1620.66</v>
      </c>
      <c r="H913" s="6">
        <v>78962000</v>
      </c>
      <c r="I913" s="22" t="str">
        <f t="shared" si="95"/>
        <v>-</v>
      </c>
      <c r="J913" s="7">
        <f t="shared" si="96"/>
        <v>-1.5384615384615385</v>
      </c>
      <c r="K913" s="7">
        <f t="shared" si="97"/>
        <v>-3.4623566520771698</v>
      </c>
      <c r="L913" s="2" t="str">
        <f t="shared" si="92"/>
        <v>Normal</v>
      </c>
      <c r="M913" s="2" t="str">
        <f t="shared" si="93"/>
        <v>Normal</v>
      </c>
      <c r="N913" s="2" t="str">
        <f t="shared" si="94"/>
        <v>No</v>
      </c>
    </row>
    <row r="914" spans="1:14" x14ac:dyDescent="0.25">
      <c r="A914" s="3">
        <v>44813</v>
      </c>
      <c r="B914" s="4">
        <v>2022</v>
      </c>
      <c r="C914" s="5">
        <v>1940</v>
      </c>
      <c r="D914" s="5">
        <v>1985</v>
      </c>
      <c r="E914" s="5">
        <v>1920</v>
      </c>
      <c r="F914" s="5">
        <v>1975</v>
      </c>
      <c r="G914" s="5">
        <v>1667.09</v>
      </c>
      <c r="H914" s="6">
        <v>75063600</v>
      </c>
      <c r="I914" s="22" t="str">
        <f t="shared" si="95"/>
        <v>+</v>
      </c>
      <c r="J914" s="7">
        <f t="shared" si="96"/>
        <v>2.864583333333333</v>
      </c>
      <c r="K914" s="7">
        <f t="shared" si="97"/>
        <v>-4.9370583318558294</v>
      </c>
      <c r="L914" s="2" t="str">
        <f t="shared" si="92"/>
        <v>Normal</v>
      </c>
      <c r="M914" s="2" t="str">
        <f t="shared" si="93"/>
        <v>Normal</v>
      </c>
      <c r="N914" s="2" t="str">
        <f t="shared" si="94"/>
        <v>No</v>
      </c>
    </row>
    <row r="915" spans="1:14" x14ac:dyDescent="0.25">
      <c r="A915" s="3">
        <v>44816</v>
      </c>
      <c r="B915" s="4">
        <v>2022</v>
      </c>
      <c r="C915" s="5">
        <v>2010</v>
      </c>
      <c r="D915" s="5">
        <v>2020</v>
      </c>
      <c r="E915" s="5">
        <v>1980</v>
      </c>
      <c r="F915" s="5">
        <v>1980</v>
      </c>
      <c r="G915" s="5">
        <v>1671.31</v>
      </c>
      <c r="H915" s="6">
        <v>96249700</v>
      </c>
      <c r="I915" s="22" t="str">
        <f t="shared" si="95"/>
        <v>+</v>
      </c>
      <c r="J915" s="7">
        <f t="shared" si="96"/>
        <v>0.25316455696202533</v>
      </c>
      <c r="K915" s="7">
        <f t="shared" si="97"/>
        <v>28.224199212401217</v>
      </c>
      <c r="L915" s="2" t="str">
        <f t="shared" si="92"/>
        <v>Normal</v>
      </c>
      <c r="M915" s="2" t="str">
        <f t="shared" si="93"/>
        <v>Normal</v>
      </c>
      <c r="N915" s="2" t="str">
        <f t="shared" si="94"/>
        <v>No</v>
      </c>
    </row>
    <row r="916" spans="1:14" x14ac:dyDescent="0.25">
      <c r="A916" s="3">
        <v>44817</v>
      </c>
      <c r="B916" s="4">
        <v>2022</v>
      </c>
      <c r="C916" s="5">
        <v>2030</v>
      </c>
      <c r="D916" s="5">
        <v>2100</v>
      </c>
      <c r="E916" s="5">
        <v>2030</v>
      </c>
      <c r="F916" s="5">
        <v>2070</v>
      </c>
      <c r="G916" s="5">
        <v>1747.28</v>
      </c>
      <c r="H916" s="6">
        <v>282112800</v>
      </c>
      <c r="I916" s="22" t="str">
        <f t="shared" si="95"/>
        <v>+</v>
      </c>
      <c r="J916" s="7">
        <f t="shared" si="96"/>
        <v>4.5454545454545459</v>
      </c>
      <c r="K916" s="7">
        <f t="shared" si="97"/>
        <v>193.10512136661205</v>
      </c>
      <c r="L916" s="2" t="str">
        <f t="shared" si="92"/>
        <v>Normal</v>
      </c>
      <c r="M916" s="2" t="str">
        <f t="shared" si="93"/>
        <v>Sharp Volume Increase</v>
      </c>
      <c r="N916" s="2" t="str">
        <f t="shared" si="94"/>
        <v>No</v>
      </c>
    </row>
    <row r="917" spans="1:14" x14ac:dyDescent="0.25">
      <c r="A917" s="3">
        <v>44818</v>
      </c>
      <c r="B917" s="4">
        <v>2022</v>
      </c>
      <c r="C917" s="5">
        <v>2010</v>
      </c>
      <c r="D917" s="5">
        <v>2120</v>
      </c>
      <c r="E917" s="5">
        <v>1990</v>
      </c>
      <c r="F917" s="5">
        <v>2120</v>
      </c>
      <c r="G917" s="5">
        <v>1789.48</v>
      </c>
      <c r="H917" s="6">
        <v>230625300</v>
      </c>
      <c r="I917" s="22" t="str">
        <f t="shared" si="95"/>
        <v>+</v>
      </c>
      <c r="J917" s="7">
        <f t="shared" si="96"/>
        <v>2.4154589371980677</v>
      </c>
      <c r="K917" s="7">
        <f t="shared" si="97"/>
        <v>-18.250678452023447</v>
      </c>
      <c r="L917" s="2" t="str">
        <f t="shared" si="92"/>
        <v>Normal</v>
      </c>
      <c r="M917" s="2" t="str">
        <f t="shared" si="93"/>
        <v>Normal</v>
      </c>
      <c r="N917" s="2" t="str">
        <f t="shared" si="94"/>
        <v>No</v>
      </c>
    </row>
    <row r="918" spans="1:14" x14ac:dyDescent="0.25">
      <c r="A918" s="3">
        <v>44819</v>
      </c>
      <c r="B918" s="4">
        <v>2022</v>
      </c>
      <c r="C918" s="5">
        <v>2130</v>
      </c>
      <c r="D918" s="5">
        <v>2150</v>
      </c>
      <c r="E918" s="5">
        <v>2060</v>
      </c>
      <c r="F918" s="5">
        <v>2070</v>
      </c>
      <c r="G918" s="5">
        <v>1747.28</v>
      </c>
      <c r="H918" s="6">
        <v>147893600</v>
      </c>
      <c r="I918" s="22" t="str">
        <f t="shared" si="95"/>
        <v>-</v>
      </c>
      <c r="J918" s="7">
        <f t="shared" si="96"/>
        <v>-2.358490566037736</v>
      </c>
      <c r="K918" s="7">
        <f t="shared" si="97"/>
        <v>-35.872777184463281</v>
      </c>
      <c r="L918" s="2" t="str">
        <f t="shared" si="92"/>
        <v>Normal</v>
      </c>
      <c r="M918" s="2" t="str">
        <f t="shared" si="93"/>
        <v>Normal</v>
      </c>
      <c r="N918" s="2" t="str">
        <f t="shared" si="94"/>
        <v>No</v>
      </c>
    </row>
    <row r="919" spans="1:14" x14ac:dyDescent="0.25">
      <c r="A919" s="3">
        <v>44820</v>
      </c>
      <c r="B919" s="4">
        <v>2022</v>
      </c>
      <c r="C919" s="5">
        <v>2030</v>
      </c>
      <c r="D919" s="5">
        <v>2050</v>
      </c>
      <c r="E919" s="5">
        <v>2000</v>
      </c>
      <c r="F919" s="5">
        <v>2040</v>
      </c>
      <c r="G919" s="5">
        <v>1721.95</v>
      </c>
      <c r="H919" s="6">
        <v>97988100</v>
      </c>
      <c r="I919" s="22" t="str">
        <f t="shared" si="95"/>
        <v>-</v>
      </c>
      <c r="J919" s="7">
        <f t="shared" si="96"/>
        <v>-1.4492753623188406</v>
      </c>
      <c r="K919" s="7">
        <f t="shared" si="97"/>
        <v>-33.744191770299729</v>
      </c>
      <c r="L919" s="2" t="str">
        <f t="shared" si="92"/>
        <v>Normal</v>
      </c>
      <c r="M919" s="2" t="str">
        <f t="shared" si="93"/>
        <v>Normal</v>
      </c>
      <c r="N919" s="2" t="str">
        <f t="shared" si="94"/>
        <v>No</v>
      </c>
    </row>
    <row r="920" spans="1:14" x14ac:dyDescent="0.25">
      <c r="A920" s="3">
        <v>44823</v>
      </c>
      <c r="B920" s="4">
        <v>2022</v>
      </c>
      <c r="C920" s="5">
        <v>2080</v>
      </c>
      <c r="D920" s="5">
        <v>2090</v>
      </c>
      <c r="E920" s="5">
        <v>2020</v>
      </c>
      <c r="F920" s="5">
        <v>2050</v>
      </c>
      <c r="G920" s="5">
        <v>1730.4</v>
      </c>
      <c r="H920" s="6">
        <v>80428100</v>
      </c>
      <c r="I920" s="22" t="str">
        <f t="shared" si="95"/>
        <v>+</v>
      </c>
      <c r="J920" s="7">
        <f t="shared" si="96"/>
        <v>0.49019607843137253</v>
      </c>
      <c r="K920" s="7">
        <f t="shared" si="97"/>
        <v>-17.92054341292463</v>
      </c>
      <c r="L920" s="2" t="str">
        <f t="shared" si="92"/>
        <v>Normal</v>
      </c>
      <c r="M920" s="2" t="str">
        <f t="shared" si="93"/>
        <v>Normal</v>
      </c>
      <c r="N920" s="2" t="str">
        <f t="shared" si="94"/>
        <v>No</v>
      </c>
    </row>
    <row r="921" spans="1:14" x14ac:dyDescent="0.25">
      <c r="A921" s="3">
        <v>44824</v>
      </c>
      <c r="B921" s="4">
        <v>2022</v>
      </c>
      <c r="C921" s="5">
        <v>2080</v>
      </c>
      <c r="D921" s="5">
        <v>2080</v>
      </c>
      <c r="E921" s="5">
        <v>2040</v>
      </c>
      <c r="F921" s="5">
        <v>2050</v>
      </c>
      <c r="G921" s="5">
        <v>1730.4</v>
      </c>
      <c r="H921" s="6">
        <v>46000700</v>
      </c>
      <c r="I921" s="22" t="str">
        <f t="shared" si="95"/>
        <v>0</v>
      </c>
      <c r="J921" s="7">
        <f t="shared" si="96"/>
        <v>0</v>
      </c>
      <c r="K921" s="7">
        <f t="shared" si="97"/>
        <v>-42.805188733788313</v>
      </c>
      <c r="L921" s="2" t="str">
        <f t="shared" si="92"/>
        <v>Normal</v>
      </c>
      <c r="M921" s="2" t="str">
        <f t="shared" si="93"/>
        <v>Normal</v>
      </c>
      <c r="N921" s="2" t="str">
        <f t="shared" si="94"/>
        <v>No</v>
      </c>
    </row>
    <row r="922" spans="1:14" x14ac:dyDescent="0.25">
      <c r="A922" s="3">
        <v>44825</v>
      </c>
      <c r="B922" s="4">
        <v>2022</v>
      </c>
      <c r="C922" s="5">
        <v>2060</v>
      </c>
      <c r="D922" s="5">
        <v>2100</v>
      </c>
      <c r="E922" s="5">
        <v>2020</v>
      </c>
      <c r="F922" s="5">
        <v>2080</v>
      </c>
      <c r="G922" s="5">
        <v>1755.72</v>
      </c>
      <c r="H922" s="6">
        <v>122337200</v>
      </c>
      <c r="I922" s="22" t="str">
        <f t="shared" si="95"/>
        <v>+</v>
      </c>
      <c r="J922" s="7">
        <f t="shared" si="96"/>
        <v>1.4634146341463417</v>
      </c>
      <c r="K922" s="7">
        <f t="shared" si="97"/>
        <v>165.94638777236</v>
      </c>
      <c r="L922" s="2" t="str">
        <f t="shared" si="92"/>
        <v>Normal</v>
      </c>
      <c r="M922" s="2" t="str">
        <f t="shared" si="93"/>
        <v>Normal</v>
      </c>
      <c r="N922" s="2" t="str">
        <f t="shared" si="94"/>
        <v>No</v>
      </c>
    </row>
    <row r="923" spans="1:14" x14ac:dyDescent="0.25">
      <c r="A923" s="3">
        <v>44826</v>
      </c>
      <c r="B923" s="4">
        <v>2022</v>
      </c>
      <c r="C923" s="5">
        <v>2050</v>
      </c>
      <c r="D923" s="5">
        <v>2090</v>
      </c>
      <c r="E923" s="5">
        <v>2040</v>
      </c>
      <c r="F923" s="5">
        <v>2080</v>
      </c>
      <c r="G923" s="5">
        <v>1755.72</v>
      </c>
      <c r="H923" s="6">
        <v>56857200</v>
      </c>
      <c r="I923" s="22" t="str">
        <f t="shared" si="95"/>
        <v>0</v>
      </c>
      <c r="J923" s="7">
        <f t="shared" si="96"/>
        <v>0</v>
      </c>
      <c r="K923" s="7">
        <f t="shared" si="97"/>
        <v>-53.524193785700504</v>
      </c>
      <c r="L923" s="2" t="str">
        <f t="shared" si="92"/>
        <v>Normal</v>
      </c>
      <c r="M923" s="2" t="str">
        <f t="shared" si="93"/>
        <v>Normal</v>
      </c>
      <c r="N923" s="2" t="str">
        <f t="shared" si="94"/>
        <v>No</v>
      </c>
    </row>
    <row r="924" spans="1:14" x14ac:dyDescent="0.25">
      <c r="A924" s="3">
        <v>44827</v>
      </c>
      <c r="B924" s="4">
        <v>2022</v>
      </c>
      <c r="C924" s="5">
        <v>2080</v>
      </c>
      <c r="D924" s="5">
        <v>2090</v>
      </c>
      <c r="E924" s="5">
        <v>2030</v>
      </c>
      <c r="F924" s="5">
        <v>2040</v>
      </c>
      <c r="G924" s="5">
        <v>1721.95</v>
      </c>
      <c r="H924" s="6">
        <v>54897400</v>
      </c>
      <c r="I924" s="22" t="str">
        <f t="shared" si="95"/>
        <v>-</v>
      </c>
      <c r="J924" s="7">
        <f t="shared" si="96"/>
        <v>-1.9230769230769231</v>
      </c>
      <c r="K924" s="7">
        <f t="shared" si="97"/>
        <v>-3.4468809579085851</v>
      </c>
      <c r="L924" s="2" t="str">
        <f t="shared" si="92"/>
        <v>Normal</v>
      </c>
      <c r="M924" s="2" t="str">
        <f t="shared" si="93"/>
        <v>Normal</v>
      </c>
      <c r="N924" s="2" t="str">
        <f t="shared" si="94"/>
        <v>No</v>
      </c>
    </row>
    <row r="925" spans="1:14" x14ac:dyDescent="0.25">
      <c r="A925" s="3">
        <v>44830</v>
      </c>
      <c r="B925" s="4">
        <v>2022</v>
      </c>
      <c r="C925" s="5">
        <v>1995</v>
      </c>
      <c r="D925" s="5">
        <v>2000</v>
      </c>
      <c r="E925" s="5">
        <v>1970</v>
      </c>
      <c r="F925" s="5">
        <v>1970</v>
      </c>
      <c r="G925" s="5">
        <v>1662.87</v>
      </c>
      <c r="H925" s="6">
        <v>95293700</v>
      </c>
      <c r="I925" s="22" t="str">
        <f t="shared" si="95"/>
        <v>-</v>
      </c>
      <c r="J925" s="7">
        <f t="shared" si="96"/>
        <v>-3.4313725490196081</v>
      </c>
      <c r="K925" s="7">
        <f t="shared" si="97"/>
        <v>73.585087818366617</v>
      </c>
      <c r="L925" s="2" t="str">
        <f t="shared" si="92"/>
        <v>Normal</v>
      </c>
      <c r="M925" s="2" t="str">
        <f t="shared" si="93"/>
        <v>Normal</v>
      </c>
      <c r="N925" s="2" t="str">
        <f t="shared" si="94"/>
        <v>No</v>
      </c>
    </row>
    <row r="926" spans="1:14" x14ac:dyDescent="0.25">
      <c r="A926" s="3">
        <v>44831</v>
      </c>
      <c r="B926" s="4">
        <v>2022</v>
      </c>
      <c r="C926" s="5">
        <v>1955</v>
      </c>
      <c r="D926" s="5">
        <v>1975</v>
      </c>
      <c r="E926" s="5">
        <v>1930</v>
      </c>
      <c r="F926" s="5">
        <v>1965</v>
      </c>
      <c r="G926" s="5">
        <v>1658.65</v>
      </c>
      <c r="H926" s="6">
        <v>75589600</v>
      </c>
      <c r="I926" s="22" t="str">
        <f t="shared" si="95"/>
        <v>-</v>
      </c>
      <c r="J926" s="7">
        <f t="shared" si="96"/>
        <v>-0.25380710659898476</v>
      </c>
      <c r="K926" s="7">
        <f t="shared" si="97"/>
        <v>-20.677232597747803</v>
      </c>
      <c r="L926" s="2" t="str">
        <f t="shared" si="92"/>
        <v>Normal</v>
      </c>
      <c r="M926" s="2" t="str">
        <f t="shared" si="93"/>
        <v>Normal</v>
      </c>
      <c r="N926" s="2" t="str">
        <f t="shared" si="94"/>
        <v>No</v>
      </c>
    </row>
    <row r="927" spans="1:14" x14ac:dyDescent="0.25">
      <c r="A927" s="3">
        <v>44832</v>
      </c>
      <c r="B927" s="4">
        <v>2022</v>
      </c>
      <c r="C927" s="5">
        <v>1945</v>
      </c>
      <c r="D927" s="5">
        <v>1950</v>
      </c>
      <c r="E927" s="5">
        <v>1925</v>
      </c>
      <c r="F927" s="5">
        <v>1925</v>
      </c>
      <c r="G927" s="5">
        <v>1624.88</v>
      </c>
      <c r="H927" s="6">
        <v>70315600</v>
      </c>
      <c r="I927" s="22" t="str">
        <f t="shared" si="95"/>
        <v>-</v>
      </c>
      <c r="J927" s="7">
        <f t="shared" si="96"/>
        <v>-2.0356234096692112</v>
      </c>
      <c r="K927" s="7">
        <f t="shared" si="97"/>
        <v>-6.9771502958078893</v>
      </c>
      <c r="L927" s="2" t="str">
        <f t="shared" si="92"/>
        <v>Normal</v>
      </c>
      <c r="M927" s="2" t="str">
        <f t="shared" si="93"/>
        <v>Normal</v>
      </c>
      <c r="N927" s="2" t="str">
        <f t="shared" si="94"/>
        <v>No</v>
      </c>
    </row>
    <row r="928" spans="1:14" x14ac:dyDescent="0.25">
      <c r="A928" s="3">
        <v>44833</v>
      </c>
      <c r="B928" s="4">
        <v>2022</v>
      </c>
      <c r="C928" s="5">
        <v>1945</v>
      </c>
      <c r="D928" s="5">
        <v>1960</v>
      </c>
      <c r="E928" s="5">
        <v>1910</v>
      </c>
      <c r="F928" s="5">
        <v>1920</v>
      </c>
      <c r="G928" s="5">
        <v>1620.66</v>
      </c>
      <c r="H928" s="6">
        <v>48688700</v>
      </c>
      <c r="I928" s="22" t="str">
        <f t="shared" si="95"/>
        <v>-</v>
      </c>
      <c r="J928" s="7">
        <f t="shared" si="96"/>
        <v>-0.25974025974025972</v>
      </c>
      <c r="K928" s="7">
        <f t="shared" si="97"/>
        <v>-30.75690174015439</v>
      </c>
      <c r="L928" s="2" t="str">
        <f t="shared" si="92"/>
        <v>Normal</v>
      </c>
      <c r="M928" s="2" t="str">
        <f t="shared" si="93"/>
        <v>Normal</v>
      </c>
      <c r="N928" s="2" t="str">
        <f t="shared" si="94"/>
        <v>No</v>
      </c>
    </row>
    <row r="929" spans="1:14" x14ac:dyDescent="0.25">
      <c r="A929" s="3">
        <v>44834</v>
      </c>
      <c r="B929" s="4">
        <v>2022</v>
      </c>
      <c r="C929" s="5">
        <v>1925</v>
      </c>
      <c r="D929" s="5">
        <v>1940</v>
      </c>
      <c r="E929" s="5">
        <v>1885</v>
      </c>
      <c r="F929" s="5">
        <v>1940</v>
      </c>
      <c r="G929" s="5">
        <v>1637.55</v>
      </c>
      <c r="H929" s="6">
        <v>61879600</v>
      </c>
      <c r="I929" s="22" t="str">
        <f t="shared" si="95"/>
        <v>+</v>
      </c>
      <c r="J929" s="7">
        <f t="shared" si="96"/>
        <v>1.0416666666666665</v>
      </c>
      <c r="K929" s="7">
        <f t="shared" si="97"/>
        <v>27.092323270081149</v>
      </c>
      <c r="L929" s="2" t="str">
        <f t="shared" si="92"/>
        <v>Normal</v>
      </c>
      <c r="M929" s="2" t="str">
        <f t="shared" si="93"/>
        <v>Normal</v>
      </c>
      <c r="N929" s="2" t="str">
        <f t="shared" si="94"/>
        <v>No</v>
      </c>
    </row>
    <row r="930" spans="1:14" x14ac:dyDescent="0.25">
      <c r="A930" s="3">
        <v>44837</v>
      </c>
      <c r="B930" s="4">
        <v>2022</v>
      </c>
      <c r="C930" s="5">
        <v>1900</v>
      </c>
      <c r="D930" s="5">
        <v>1920</v>
      </c>
      <c r="E930" s="5">
        <v>1890</v>
      </c>
      <c r="F930" s="5">
        <v>1890</v>
      </c>
      <c r="G930" s="5">
        <v>1595.34</v>
      </c>
      <c r="H930" s="6">
        <v>57708700</v>
      </c>
      <c r="I930" s="22" t="str">
        <f t="shared" si="95"/>
        <v>-</v>
      </c>
      <c r="J930" s="7">
        <f t="shared" si="96"/>
        <v>-2.5773195876288657</v>
      </c>
      <c r="K930" s="7">
        <f t="shared" si="97"/>
        <v>-6.740347384275271</v>
      </c>
      <c r="L930" s="2" t="str">
        <f t="shared" si="92"/>
        <v>Normal</v>
      </c>
      <c r="M930" s="2" t="str">
        <f t="shared" si="93"/>
        <v>Normal</v>
      </c>
      <c r="N930" s="2" t="str">
        <f t="shared" si="94"/>
        <v>No</v>
      </c>
    </row>
    <row r="931" spans="1:14" x14ac:dyDescent="0.25">
      <c r="A931" s="3">
        <v>44838</v>
      </c>
      <c r="B931" s="4">
        <v>2022</v>
      </c>
      <c r="C931" s="5">
        <v>1920</v>
      </c>
      <c r="D931" s="5">
        <v>1935</v>
      </c>
      <c r="E931" s="5">
        <v>1910</v>
      </c>
      <c r="F931" s="5">
        <v>1925</v>
      </c>
      <c r="G931" s="5">
        <v>1624.88</v>
      </c>
      <c r="H931" s="6">
        <v>73564600</v>
      </c>
      <c r="I931" s="22" t="str">
        <f t="shared" si="95"/>
        <v>+</v>
      </c>
      <c r="J931" s="7">
        <f t="shared" si="96"/>
        <v>1.8518518518518516</v>
      </c>
      <c r="K931" s="7">
        <f t="shared" si="97"/>
        <v>27.475753222651004</v>
      </c>
      <c r="L931" s="2" t="str">
        <f t="shared" si="92"/>
        <v>Normal</v>
      </c>
      <c r="M931" s="2" t="str">
        <f t="shared" si="93"/>
        <v>Normal</v>
      </c>
      <c r="N931" s="2" t="str">
        <f t="shared" si="94"/>
        <v>No</v>
      </c>
    </row>
    <row r="932" spans="1:14" x14ac:dyDescent="0.25">
      <c r="A932" s="3">
        <v>44839</v>
      </c>
      <c r="B932" s="4">
        <v>2022</v>
      </c>
      <c r="C932" s="5">
        <v>1945</v>
      </c>
      <c r="D932" s="5">
        <v>1975</v>
      </c>
      <c r="E932" s="5">
        <v>1940</v>
      </c>
      <c r="F932" s="5">
        <v>1940</v>
      </c>
      <c r="G932" s="5">
        <v>1637.55</v>
      </c>
      <c r="H932" s="6">
        <v>84847500</v>
      </c>
      <c r="I932" s="22" t="str">
        <f t="shared" si="95"/>
        <v>+</v>
      </c>
      <c r="J932" s="7">
        <f t="shared" si="96"/>
        <v>0.77922077922077926</v>
      </c>
      <c r="K932" s="7">
        <f t="shared" si="97"/>
        <v>15.337404131878648</v>
      </c>
      <c r="L932" s="2" t="str">
        <f t="shared" si="92"/>
        <v>Normal</v>
      </c>
      <c r="M932" s="2" t="str">
        <f t="shared" si="93"/>
        <v>Normal</v>
      </c>
      <c r="N932" s="2" t="str">
        <f t="shared" si="94"/>
        <v>No</v>
      </c>
    </row>
    <row r="933" spans="1:14" x14ac:dyDescent="0.25">
      <c r="A933" s="3">
        <v>44840</v>
      </c>
      <c r="B933" s="4">
        <v>2022</v>
      </c>
      <c r="C933" s="5">
        <v>1955</v>
      </c>
      <c r="D933" s="5">
        <v>1965</v>
      </c>
      <c r="E933" s="5">
        <v>1925</v>
      </c>
      <c r="F933" s="5">
        <v>1930</v>
      </c>
      <c r="G933" s="5">
        <v>1629.1</v>
      </c>
      <c r="H933" s="6">
        <v>46688800</v>
      </c>
      <c r="I933" s="22" t="str">
        <f t="shared" si="95"/>
        <v>-</v>
      </c>
      <c r="J933" s="7">
        <f t="shared" si="96"/>
        <v>-0.51546391752577314</v>
      </c>
      <c r="K933" s="7">
        <f t="shared" si="97"/>
        <v>-44.973275582663014</v>
      </c>
      <c r="L933" s="2" t="str">
        <f t="shared" si="92"/>
        <v>Normal</v>
      </c>
      <c r="M933" s="2" t="str">
        <f t="shared" si="93"/>
        <v>Normal</v>
      </c>
      <c r="N933" s="2" t="str">
        <f t="shared" si="94"/>
        <v>No</v>
      </c>
    </row>
    <row r="934" spans="1:14" x14ac:dyDescent="0.25">
      <c r="A934" s="3">
        <v>44841</v>
      </c>
      <c r="B934" s="4">
        <v>2022</v>
      </c>
      <c r="C934" s="5">
        <v>1935</v>
      </c>
      <c r="D934" s="5">
        <v>1950</v>
      </c>
      <c r="E934" s="5">
        <v>1925</v>
      </c>
      <c r="F934" s="5">
        <v>1935</v>
      </c>
      <c r="G934" s="5">
        <v>1633.32</v>
      </c>
      <c r="H934" s="6">
        <v>28671100</v>
      </c>
      <c r="I934" s="22" t="str">
        <f t="shared" si="95"/>
        <v>+</v>
      </c>
      <c r="J934" s="7">
        <f t="shared" si="96"/>
        <v>0.2590673575129534</v>
      </c>
      <c r="K934" s="7">
        <f t="shared" si="97"/>
        <v>-38.591053957265977</v>
      </c>
      <c r="L934" s="2" t="str">
        <f t="shared" si="92"/>
        <v>Normal</v>
      </c>
      <c r="M934" s="2" t="str">
        <f t="shared" si="93"/>
        <v>Normal</v>
      </c>
      <c r="N934" s="2" t="str">
        <f t="shared" si="94"/>
        <v>No</v>
      </c>
    </row>
    <row r="935" spans="1:14" x14ac:dyDescent="0.25">
      <c r="A935" s="3">
        <v>44844</v>
      </c>
      <c r="B935" s="4">
        <v>2022</v>
      </c>
      <c r="C935" s="5">
        <v>1920</v>
      </c>
      <c r="D935" s="5">
        <v>1925</v>
      </c>
      <c r="E935" s="5">
        <v>1895</v>
      </c>
      <c r="F935" s="5">
        <v>1910</v>
      </c>
      <c r="G935" s="5">
        <v>1612.22</v>
      </c>
      <c r="H935" s="6">
        <v>29237400</v>
      </c>
      <c r="I935" s="22" t="str">
        <f t="shared" si="95"/>
        <v>-</v>
      </c>
      <c r="J935" s="7">
        <f t="shared" si="96"/>
        <v>-1.2919896640826873</v>
      </c>
      <c r="K935" s="7">
        <f t="shared" si="97"/>
        <v>1.9751596555416431</v>
      </c>
      <c r="L935" s="2" t="str">
        <f t="shared" si="92"/>
        <v>Normal</v>
      </c>
      <c r="M935" s="2" t="str">
        <f t="shared" si="93"/>
        <v>Normal</v>
      </c>
      <c r="N935" s="2" t="str">
        <f t="shared" si="94"/>
        <v>No</v>
      </c>
    </row>
    <row r="936" spans="1:14" x14ac:dyDescent="0.25">
      <c r="A936" s="3">
        <v>44845</v>
      </c>
      <c r="B936" s="4">
        <v>2022</v>
      </c>
      <c r="C936" s="5">
        <v>1910</v>
      </c>
      <c r="D936" s="5">
        <v>1915</v>
      </c>
      <c r="E936" s="5">
        <v>1890</v>
      </c>
      <c r="F936" s="5">
        <v>1895</v>
      </c>
      <c r="G936" s="5">
        <v>1599.56</v>
      </c>
      <c r="H936" s="6">
        <v>23307600</v>
      </c>
      <c r="I936" s="22" t="str">
        <f t="shared" si="95"/>
        <v>-</v>
      </c>
      <c r="J936" s="7">
        <f t="shared" si="96"/>
        <v>-0.78534031413612559</v>
      </c>
      <c r="K936" s="7">
        <f t="shared" si="97"/>
        <v>-20.281557183607298</v>
      </c>
      <c r="L936" s="2" t="str">
        <f t="shared" si="92"/>
        <v>Normal</v>
      </c>
      <c r="M936" s="2" t="str">
        <f t="shared" si="93"/>
        <v>Normal</v>
      </c>
      <c r="N936" s="2" t="str">
        <f t="shared" si="94"/>
        <v>No</v>
      </c>
    </row>
    <row r="937" spans="1:14" x14ac:dyDescent="0.25">
      <c r="A937" s="3">
        <v>44846</v>
      </c>
      <c r="B937" s="4">
        <v>2022</v>
      </c>
      <c r="C937" s="5">
        <v>1895</v>
      </c>
      <c r="D937" s="5">
        <v>1915</v>
      </c>
      <c r="E937" s="5">
        <v>1860</v>
      </c>
      <c r="F937" s="5">
        <v>1880</v>
      </c>
      <c r="G937" s="5">
        <v>1586.9</v>
      </c>
      <c r="H937" s="6">
        <v>45420900</v>
      </c>
      <c r="I937" s="22" t="str">
        <f t="shared" si="95"/>
        <v>-</v>
      </c>
      <c r="J937" s="7">
        <f t="shared" si="96"/>
        <v>-0.79155672823219003</v>
      </c>
      <c r="K937" s="7">
        <f t="shared" si="97"/>
        <v>94.875920300674451</v>
      </c>
      <c r="L937" s="2" t="str">
        <f t="shared" si="92"/>
        <v>Normal</v>
      </c>
      <c r="M937" s="2" t="str">
        <f t="shared" si="93"/>
        <v>Normal</v>
      </c>
      <c r="N937" s="2" t="str">
        <f t="shared" si="94"/>
        <v>No</v>
      </c>
    </row>
    <row r="938" spans="1:14" x14ac:dyDescent="0.25">
      <c r="A938" s="3">
        <v>44847</v>
      </c>
      <c r="B938" s="4">
        <v>2022</v>
      </c>
      <c r="C938" s="5">
        <v>1890</v>
      </c>
      <c r="D938" s="5">
        <v>1895</v>
      </c>
      <c r="E938" s="5">
        <v>1820</v>
      </c>
      <c r="F938" s="5">
        <v>1830</v>
      </c>
      <c r="G938" s="5">
        <v>1544.69</v>
      </c>
      <c r="H938" s="6">
        <v>61806000</v>
      </c>
      <c r="I938" s="22" t="str">
        <f t="shared" si="95"/>
        <v>-</v>
      </c>
      <c r="J938" s="7">
        <f t="shared" si="96"/>
        <v>-2.6595744680851063</v>
      </c>
      <c r="K938" s="7">
        <f t="shared" si="97"/>
        <v>36.073921917002963</v>
      </c>
      <c r="L938" s="2" t="str">
        <f t="shared" si="92"/>
        <v>Normal</v>
      </c>
      <c r="M938" s="2" t="str">
        <f t="shared" si="93"/>
        <v>Normal</v>
      </c>
      <c r="N938" s="2" t="str">
        <f t="shared" si="94"/>
        <v>No</v>
      </c>
    </row>
    <row r="939" spans="1:14" x14ac:dyDescent="0.25">
      <c r="A939" s="3">
        <v>44848</v>
      </c>
      <c r="B939" s="4">
        <v>2022</v>
      </c>
      <c r="C939" s="5">
        <v>1855</v>
      </c>
      <c r="D939" s="5">
        <v>1865</v>
      </c>
      <c r="E939" s="5">
        <v>1820</v>
      </c>
      <c r="F939" s="5">
        <v>1820</v>
      </c>
      <c r="G939" s="5">
        <v>1536.25</v>
      </c>
      <c r="H939" s="6">
        <v>35742200</v>
      </c>
      <c r="I939" s="22" t="str">
        <f t="shared" si="95"/>
        <v>-</v>
      </c>
      <c r="J939" s="7">
        <f t="shared" si="96"/>
        <v>-0.54644808743169404</v>
      </c>
      <c r="K939" s="7">
        <f t="shared" si="97"/>
        <v>-42.170339449244409</v>
      </c>
      <c r="L939" s="2" t="str">
        <f t="shared" si="92"/>
        <v>Normal</v>
      </c>
      <c r="M939" s="2" t="str">
        <f t="shared" si="93"/>
        <v>Normal</v>
      </c>
      <c r="N939" s="2" t="str">
        <f t="shared" si="94"/>
        <v>No</v>
      </c>
    </row>
    <row r="940" spans="1:14" x14ac:dyDescent="0.25">
      <c r="A940" s="3">
        <v>44851</v>
      </c>
      <c r="B940" s="4">
        <v>2022</v>
      </c>
      <c r="C940" s="5">
        <v>1810</v>
      </c>
      <c r="D940" s="5">
        <v>1810</v>
      </c>
      <c r="E940" s="5">
        <v>1765</v>
      </c>
      <c r="F940" s="5">
        <v>1805</v>
      </c>
      <c r="G940" s="5">
        <v>1523.59</v>
      </c>
      <c r="H940" s="6">
        <v>44920200</v>
      </c>
      <c r="I940" s="22" t="str">
        <f t="shared" si="95"/>
        <v>-</v>
      </c>
      <c r="J940" s="7">
        <f t="shared" si="96"/>
        <v>-0.82417582417582425</v>
      </c>
      <c r="K940" s="7">
        <f t="shared" si="97"/>
        <v>25.678329817414706</v>
      </c>
      <c r="L940" s="2" t="str">
        <f t="shared" si="92"/>
        <v>Normal</v>
      </c>
      <c r="M940" s="2" t="str">
        <f t="shared" si="93"/>
        <v>Normal</v>
      </c>
      <c r="N940" s="2" t="str">
        <f t="shared" si="94"/>
        <v>No</v>
      </c>
    </row>
    <row r="941" spans="1:14" x14ac:dyDescent="0.25">
      <c r="A941" s="3">
        <v>44852</v>
      </c>
      <c r="B941" s="4">
        <v>2022</v>
      </c>
      <c r="C941" s="5">
        <v>1810</v>
      </c>
      <c r="D941" s="5">
        <v>1830</v>
      </c>
      <c r="E941" s="5">
        <v>1790</v>
      </c>
      <c r="F941" s="5">
        <v>1795</v>
      </c>
      <c r="G941" s="5">
        <v>1515.15</v>
      </c>
      <c r="H941" s="6">
        <v>29114900</v>
      </c>
      <c r="I941" s="22" t="str">
        <f t="shared" si="95"/>
        <v>-</v>
      </c>
      <c r="J941" s="7">
        <f t="shared" si="96"/>
        <v>-0.554016620498615</v>
      </c>
      <c r="K941" s="7">
        <f t="shared" si="97"/>
        <v>-35.18528412607246</v>
      </c>
      <c r="L941" s="2" t="str">
        <f t="shared" si="92"/>
        <v>Normal</v>
      </c>
      <c r="M941" s="2" t="str">
        <f t="shared" si="93"/>
        <v>Normal</v>
      </c>
      <c r="N941" s="2" t="str">
        <f t="shared" si="94"/>
        <v>No</v>
      </c>
    </row>
    <row r="942" spans="1:14" x14ac:dyDescent="0.25">
      <c r="A942" s="3">
        <v>44853</v>
      </c>
      <c r="B942" s="4">
        <v>2022</v>
      </c>
      <c r="C942" s="5">
        <v>1800</v>
      </c>
      <c r="D942" s="5">
        <v>1840</v>
      </c>
      <c r="E942" s="5">
        <v>1765</v>
      </c>
      <c r="F942" s="5">
        <v>1825</v>
      </c>
      <c r="G942" s="5">
        <v>1540.47</v>
      </c>
      <c r="H942" s="6">
        <v>50663500</v>
      </c>
      <c r="I942" s="22" t="str">
        <f t="shared" si="95"/>
        <v>+</v>
      </c>
      <c r="J942" s="7">
        <f t="shared" si="96"/>
        <v>1.6713091922005572</v>
      </c>
      <c r="K942" s="7">
        <f t="shared" si="97"/>
        <v>74.012275501547322</v>
      </c>
      <c r="L942" s="2" t="str">
        <f t="shared" si="92"/>
        <v>Normal</v>
      </c>
      <c r="M942" s="2" t="str">
        <f t="shared" si="93"/>
        <v>Normal</v>
      </c>
      <c r="N942" s="2" t="str">
        <f t="shared" si="94"/>
        <v>No</v>
      </c>
    </row>
    <row r="943" spans="1:14" x14ac:dyDescent="0.25">
      <c r="A943" s="3">
        <v>44854</v>
      </c>
      <c r="B943" s="4">
        <v>2022</v>
      </c>
      <c r="C943" s="5">
        <v>1815</v>
      </c>
      <c r="D943" s="5">
        <v>1835</v>
      </c>
      <c r="E943" s="5">
        <v>1805</v>
      </c>
      <c r="F943" s="5">
        <v>1820</v>
      </c>
      <c r="G943" s="5">
        <v>1536.25</v>
      </c>
      <c r="H943" s="6">
        <v>55821200</v>
      </c>
      <c r="I943" s="22" t="str">
        <f t="shared" si="95"/>
        <v>-</v>
      </c>
      <c r="J943" s="7">
        <f t="shared" si="96"/>
        <v>-0.27397260273972601</v>
      </c>
      <c r="K943" s="7">
        <f t="shared" si="97"/>
        <v>10.180307321839194</v>
      </c>
      <c r="L943" s="2" t="str">
        <f t="shared" si="92"/>
        <v>Normal</v>
      </c>
      <c r="M943" s="2" t="str">
        <f t="shared" si="93"/>
        <v>Normal</v>
      </c>
      <c r="N943" s="2" t="str">
        <f t="shared" si="94"/>
        <v>No</v>
      </c>
    </row>
    <row r="944" spans="1:14" x14ac:dyDescent="0.25">
      <c r="A944" s="3">
        <v>44855</v>
      </c>
      <c r="B944" s="4">
        <v>2022</v>
      </c>
      <c r="C944" s="5">
        <v>1825</v>
      </c>
      <c r="D944" s="5">
        <v>1830</v>
      </c>
      <c r="E944" s="5">
        <v>1795</v>
      </c>
      <c r="F944" s="5">
        <v>1800</v>
      </c>
      <c r="G944" s="5">
        <v>1519.37</v>
      </c>
      <c r="H944" s="6">
        <v>53313900</v>
      </c>
      <c r="I944" s="22" t="str">
        <f t="shared" si="95"/>
        <v>-</v>
      </c>
      <c r="J944" s="7">
        <f t="shared" si="96"/>
        <v>-1.098901098901099</v>
      </c>
      <c r="K944" s="7">
        <f t="shared" si="97"/>
        <v>-4.4916626657972243</v>
      </c>
      <c r="L944" s="2" t="str">
        <f t="shared" si="92"/>
        <v>Normal</v>
      </c>
      <c r="M944" s="2" t="str">
        <f t="shared" si="93"/>
        <v>Normal</v>
      </c>
      <c r="N944" s="2" t="str">
        <f t="shared" si="94"/>
        <v>No</v>
      </c>
    </row>
    <row r="945" spans="1:14" x14ac:dyDescent="0.25">
      <c r="A945" s="3">
        <v>44858</v>
      </c>
      <c r="B945" s="4">
        <v>2022</v>
      </c>
      <c r="C945" s="5">
        <v>1805</v>
      </c>
      <c r="D945" s="5">
        <v>1825</v>
      </c>
      <c r="E945" s="5">
        <v>1790</v>
      </c>
      <c r="F945" s="5">
        <v>1795</v>
      </c>
      <c r="G945" s="5">
        <v>1515.15</v>
      </c>
      <c r="H945" s="6">
        <v>42005500</v>
      </c>
      <c r="I945" s="22" t="str">
        <f t="shared" si="95"/>
        <v>-</v>
      </c>
      <c r="J945" s="7">
        <f t="shared" si="96"/>
        <v>-0.27777777777777779</v>
      </c>
      <c r="K945" s="7">
        <f t="shared" si="97"/>
        <v>-21.210978750382171</v>
      </c>
      <c r="L945" s="2" t="str">
        <f t="shared" si="92"/>
        <v>Normal</v>
      </c>
      <c r="M945" s="2" t="str">
        <f t="shared" si="93"/>
        <v>Normal</v>
      </c>
      <c r="N945" s="2" t="str">
        <f t="shared" si="94"/>
        <v>No</v>
      </c>
    </row>
    <row r="946" spans="1:14" x14ac:dyDescent="0.25">
      <c r="A946" s="3">
        <v>44859</v>
      </c>
      <c r="B946" s="4">
        <v>2022</v>
      </c>
      <c r="C946" s="5">
        <v>1800</v>
      </c>
      <c r="D946" s="5">
        <v>1810</v>
      </c>
      <c r="E946" s="5">
        <v>1760</v>
      </c>
      <c r="F946" s="5">
        <v>1770</v>
      </c>
      <c r="G946" s="5">
        <v>1494.05</v>
      </c>
      <c r="H946" s="6">
        <v>61312200</v>
      </c>
      <c r="I946" s="22" t="str">
        <f t="shared" si="95"/>
        <v>-</v>
      </c>
      <c r="J946" s="7">
        <f t="shared" si="96"/>
        <v>-1.392757660167131</v>
      </c>
      <c r="K946" s="7">
        <f t="shared" si="97"/>
        <v>45.96231445882087</v>
      </c>
      <c r="L946" s="2" t="str">
        <f t="shared" si="92"/>
        <v>Normal</v>
      </c>
      <c r="M946" s="2" t="str">
        <f t="shared" si="93"/>
        <v>Normal</v>
      </c>
      <c r="N946" s="2" t="str">
        <f t="shared" si="94"/>
        <v>No</v>
      </c>
    </row>
    <row r="947" spans="1:14" x14ac:dyDescent="0.25">
      <c r="A947" s="3">
        <v>44860</v>
      </c>
      <c r="B947" s="4">
        <v>2022</v>
      </c>
      <c r="C947" s="5">
        <v>1775</v>
      </c>
      <c r="D947" s="5">
        <v>1830</v>
      </c>
      <c r="E947" s="5">
        <v>1775</v>
      </c>
      <c r="F947" s="5">
        <v>1810</v>
      </c>
      <c r="G947" s="5">
        <v>1527.81</v>
      </c>
      <c r="H947" s="6">
        <v>93571200</v>
      </c>
      <c r="I947" s="22" t="str">
        <f t="shared" si="95"/>
        <v>+</v>
      </c>
      <c r="J947" s="7">
        <f t="shared" si="96"/>
        <v>2.2598870056497176</v>
      </c>
      <c r="K947" s="7">
        <f t="shared" si="97"/>
        <v>52.614324718408412</v>
      </c>
      <c r="L947" s="2" t="str">
        <f t="shared" si="92"/>
        <v>Normal</v>
      </c>
      <c r="M947" s="2" t="str">
        <f t="shared" si="93"/>
        <v>Normal</v>
      </c>
      <c r="N947" s="2" t="str">
        <f t="shared" si="94"/>
        <v>No</v>
      </c>
    </row>
    <row r="948" spans="1:14" x14ac:dyDescent="0.25">
      <c r="A948" s="3">
        <v>44861</v>
      </c>
      <c r="B948" s="4">
        <v>2022</v>
      </c>
      <c r="C948" s="5">
        <v>1820</v>
      </c>
      <c r="D948" s="5">
        <v>1880</v>
      </c>
      <c r="E948" s="5">
        <v>1815</v>
      </c>
      <c r="F948" s="5">
        <v>1840</v>
      </c>
      <c r="G948" s="5">
        <v>1553.14</v>
      </c>
      <c r="H948" s="6">
        <v>117436400</v>
      </c>
      <c r="I948" s="22" t="str">
        <f t="shared" si="95"/>
        <v>+</v>
      </c>
      <c r="J948" s="7">
        <f t="shared" si="96"/>
        <v>1.6574585635359116</v>
      </c>
      <c r="K948" s="7">
        <f t="shared" si="97"/>
        <v>25.504856195068569</v>
      </c>
      <c r="L948" s="2" t="str">
        <f t="shared" si="92"/>
        <v>Normal</v>
      </c>
      <c r="M948" s="2" t="str">
        <f t="shared" si="93"/>
        <v>Normal</v>
      </c>
      <c r="N948" s="2" t="str">
        <f t="shared" si="94"/>
        <v>No</v>
      </c>
    </row>
    <row r="949" spans="1:14" x14ac:dyDescent="0.25">
      <c r="A949" s="3">
        <v>44862</v>
      </c>
      <c r="B949" s="4">
        <v>2022</v>
      </c>
      <c r="C949" s="5">
        <v>1845</v>
      </c>
      <c r="D949" s="5">
        <v>1850</v>
      </c>
      <c r="E949" s="5">
        <v>1805</v>
      </c>
      <c r="F949" s="5">
        <v>1835</v>
      </c>
      <c r="G949" s="5">
        <v>1548.92</v>
      </c>
      <c r="H949" s="6">
        <v>48489400</v>
      </c>
      <c r="I949" s="22" t="str">
        <f t="shared" si="95"/>
        <v>-</v>
      </c>
      <c r="J949" s="7">
        <f t="shared" si="96"/>
        <v>-0.27173913043478259</v>
      </c>
      <c r="K949" s="7">
        <f t="shared" si="97"/>
        <v>-58.710076262555731</v>
      </c>
      <c r="L949" s="2" t="str">
        <f t="shared" si="92"/>
        <v>Normal</v>
      </c>
      <c r="M949" s="2" t="str">
        <f t="shared" si="93"/>
        <v>Sharp Volume Decrease</v>
      </c>
      <c r="N949" s="2" t="str">
        <f t="shared" si="94"/>
        <v>No</v>
      </c>
    </row>
    <row r="950" spans="1:14" x14ac:dyDescent="0.25">
      <c r="A950" s="3">
        <v>44865</v>
      </c>
      <c r="B950" s="4">
        <v>2022</v>
      </c>
      <c r="C950" s="5">
        <v>1840</v>
      </c>
      <c r="D950" s="5">
        <v>1850</v>
      </c>
      <c r="E950" s="5">
        <v>1825</v>
      </c>
      <c r="F950" s="5">
        <v>1845</v>
      </c>
      <c r="G950" s="5">
        <v>1557.36</v>
      </c>
      <c r="H950" s="6">
        <v>32276200</v>
      </c>
      <c r="I950" s="22" t="str">
        <f t="shared" si="95"/>
        <v>+</v>
      </c>
      <c r="J950" s="7">
        <f t="shared" si="96"/>
        <v>0.54495912806539504</v>
      </c>
      <c r="K950" s="7">
        <f t="shared" si="97"/>
        <v>-33.436586140476059</v>
      </c>
      <c r="L950" s="2" t="str">
        <f t="shared" si="92"/>
        <v>Normal</v>
      </c>
      <c r="M950" s="2" t="str">
        <f t="shared" si="93"/>
        <v>Normal</v>
      </c>
      <c r="N950" s="2" t="str">
        <f t="shared" si="94"/>
        <v>No</v>
      </c>
    </row>
    <row r="951" spans="1:14" x14ac:dyDescent="0.25">
      <c r="A951" s="3">
        <v>44866</v>
      </c>
      <c r="B951" s="4">
        <v>2022</v>
      </c>
      <c r="C951" s="5">
        <v>1845</v>
      </c>
      <c r="D951" s="5">
        <v>1845</v>
      </c>
      <c r="E951" s="5">
        <v>1805</v>
      </c>
      <c r="F951" s="5">
        <v>1810</v>
      </c>
      <c r="G951" s="5">
        <v>1527.81</v>
      </c>
      <c r="H951" s="6">
        <v>27067000</v>
      </c>
      <c r="I951" s="22" t="str">
        <f t="shared" si="95"/>
        <v>-</v>
      </c>
      <c r="J951" s="7">
        <f t="shared" si="96"/>
        <v>-1.8970189701897018</v>
      </c>
      <c r="K951" s="7">
        <f t="shared" si="97"/>
        <v>-16.139446403232103</v>
      </c>
      <c r="L951" s="2" t="str">
        <f t="shared" si="92"/>
        <v>Normal</v>
      </c>
      <c r="M951" s="2" t="str">
        <f t="shared" si="93"/>
        <v>Normal</v>
      </c>
      <c r="N951" s="2" t="str">
        <f t="shared" si="94"/>
        <v>No</v>
      </c>
    </row>
    <row r="952" spans="1:14" x14ac:dyDescent="0.25">
      <c r="A952" s="3">
        <v>44867</v>
      </c>
      <c r="B952" s="4">
        <v>2022</v>
      </c>
      <c r="C952" s="5">
        <v>1865</v>
      </c>
      <c r="D952" s="5">
        <v>1895</v>
      </c>
      <c r="E952" s="5">
        <v>1850</v>
      </c>
      <c r="F952" s="5">
        <v>1865</v>
      </c>
      <c r="G952" s="5">
        <v>1574.24</v>
      </c>
      <c r="H952" s="6">
        <v>112301800</v>
      </c>
      <c r="I952" s="22" t="str">
        <f t="shared" si="95"/>
        <v>+</v>
      </c>
      <c r="J952" s="7">
        <f t="shared" si="96"/>
        <v>3.0386740331491713</v>
      </c>
      <c r="K952" s="7">
        <f t="shared" si="97"/>
        <v>314.90301843573354</v>
      </c>
      <c r="L952" s="2" t="str">
        <f t="shared" si="92"/>
        <v>Normal</v>
      </c>
      <c r="M952" s="2" t="str">
        <f t="shared" si="93"/>
        <v>Sharp Volume Increase</v>
      </c>
      <c r="N952" s="2" t="str">
        <f t="shared" si="94"/>
        <v>No</v>
      </c>
    </row>
    <row r="953" spans="1:14" x14ac:dyDescent="0.25">
      <c r="A953" s="3">
        <v>44868</v>
      </c>
      <c r="B953" s="4">
        <v>2022</v>
      </c>
      <c r="C953" s="5">
        <v>1865</v>
      </c>
      <c r="D953" s="5">
        <v>1875</v>
      </c>
      <c r="E953" s="5">
        <v>1825</v>
      </c>
      <c r="F953" s="5">
        <v>1830</v>
      </c>
      <c r="G953" s="5">
        <v>1544.69</v>
      </c>
      <c r="H953" s="6">
        <v>55063600</v>
      </c>
      <c r="I953" s="22" t="str">
        <f t="shared" si="95"/>
        <v>-</v>
      </c>
      <c r="J953" s="7">
        <f t="shared" si="96"/>
        <v>-1.8766756032171581</v>
      </c>
      <c r="K953" s="7">
        <f t="shared" si="97"/>
        <v>-50.968194632677296</v>
      </c>
      <c r="L953" s="2" t="str">
        <f t="shared" si="92"/>
        <v>Normal</v>
      </c>
      <c r="M953" s="2" t="str">
        <f t="shared" si="93"/>
        <v>Normal</v>
      </c>
      <c r="N953" s="2" t="str">
        <f t="shared" si="94"/>
        <v>No</v>
      </c>
    </row>
    <row r="954" spans="1:14" x14ac:dyDescent="0.25">
      <c r="A954" s="3">
        <v>44869</v>
      </c>
      <c r="B954" s="4">
        <v>2022</v>
      </c>
      <c r="C954" s="5">
        <v>1830</v>
      </c>
      <c r="D954" s="5">
        <v>1915</v>
      </c>
      <c r="E954" s="5">
        <v>1805</v>
      </c>
      <c r="F954" s="5">
        <v>1915</v>
      </c>
      <c r="G954" s="5">
        <v>1616.44</v>
      </c>
      <c r="H954" s="6">
        <v>94024700</v>
      </c>
      <c r="I954" s="22" t="str">
        <f t="shared" si="95"/>
        <v>+</v>
      </c>
      <c r="J954" s="7">
        <f t="shared" si="96"/>
        <v>4.6448087431693992</v>
      </c>
      <c r="K954" s="7">
        <f t="shared" si="97"/>
        <v>70.756543342607458</v>
      </c>
      <c r="L954" s="2" t="str">
        <f t="shared" si="92"/>
        <v>Normal</v>
      </c>
      <c r="M954" s="2" t="str">
        <f t="shared" si="93"/>
        <v>Normal</v>
      </c>
      <c r="N954" s="2" t="str">
        <f t="shared" si="94"/>
        <v>No</v>
      </c>
    </row>
    <row r="955" spans="1:14" x14ac:dyDescent="0.25">
      <c r="A955" s="3">
        <v>44872</v>
      </c>
      <c r="B955" s="4">
        <v>2022</v>
      </c>
      <c r="C955" s="5">
        <v>1930</v>
      </c>
      <c r="D955" s="5">
        <v>2010</v>
      </c>
      <c r="E955" s="5">
        <v>1930</v>
      </c>
      <c r="F955" s="5">
        <v>2000</v>
      </c>
      <c r="G955" s="5">
        <v>1688.19</v>
      </c>
      <c r="H955" s="6">
        <v>213462800</v>
      </c>
      <c r="I955" s="22" t="str">
        <f t="shared" si="95"/>
        <v>+</v>
      </c>
      <c r="J955" s="7">
        <f t="shared" si="96"/>
        <v>4.4386422976501301</v>
      </c>
      <c r="K955" s="7">
        <f t="shared" si="97"/>
        <v>127.02842976366848</v>
      </c>
      <c r="L955" s="2" t="str">
        <f t="shared" si="92"/>
        <v>Normal</v>
      </c>
      <c r="M955" s="2" t="str">
        <f t="shared" si="93"/>
        <v>Normal</v>
      </c>
      <c r="N955" s="2" t="str">
        <f t="shared" si="94"/>
        <v>No</v>
      </c>
    </row>
    <row r="956" spans="1:14" x14ac:dyDescent="0.25">
      <c r="A956" s="3">
        <v>44873</v>
      </c>
      <c r="B956" s="4">
        <v>2022</v>
      </c>
      <c r="C956" s="5">
        <v>2010</v>
      </c>
      <c r="D956" s="5">
        <v>2040</v>
      </c>
      <c r="E956" s="5">
        <v>1970</v>
      </c>
      <c r="F956" s="5">
        <v>1985</v>
      </c>
      <c r="G956" s="5">
        <v>1675.53</v>
      </c>
      <c r="H956" s="6">
        <v>102934900</v>
      </c>
      <c r="I956" s="22" t="str">
        <f t="shared" si="95"/>
        <v>-</v>
      </c>
      <c r="J956" s="7">
        <f t="shared" si="96"/>
        <v>-0.75</v>
      </c>
      <c r="K956" s="7">
        <f t="shared" si="97"/>
        <v>-51.778530029588296</v>
      </c>
      <c r="L956" s="2" t="str">
        <f t="shared" si="92"/>
        <v>Normal</v>
      </c>
      <c r="M956" s="2" t="str">
        <f t="shared" si="93"/>
        <v>Normal</v>
      </c>
      <c r="N956" s="2" t="str">
        <f t="shared" si="94"/>
        <v>No</v>
      </c>
    </row>
    <row r="957" spans="1:14" x14ac:dyDescent="0.25">
      <c r="A957" s="3">
        <v>44874</v>
      </c>
      <c r="B957" s="4">
        <v>2022</v>
      </c>
      <c r="C957" s="5">
        <v>2010</v>
      </c>
      <c r="D957" s="5">
        <v>2060</v>
      </c>
      <c r="E957" s="5">
        <v>1995</v>
      </c>
      <c r="F957" s="5">
        <v>2000</v>
      </c>
      <c r="G957" s="5">
        <v>1688.19</v>
      </c>
      <c r="H957" s="6">
        <v>109456900</v>
      </c>
      <c r="I957" s="22" t="str">
        <f t="shared" si="95"/>
        <v>+</v>
      </c>
      <c r="J957" s="7">
        <f t="shared" si="96"/>
        <v>0.75566750629722923</v>
      </c>
      <c r="K957" s="7">
        <f t="shared" si="97"/>
        <v>6.336043460478419</v>
      </c>
      <c r="L957" s="2" t="str">
        <f t="shared" si="92"/>
        <v>Normal</v>
      </c>
      <c r="M957" s="2" t="str">
        <f t="shared" si="93"/>
        <v>Normal</v>
      </c>
      <c r="N957" s="2" t="str">
        <f t="shared" si="94"/>
        <v>No</v>
      </c>
    </row>
    <row r="958" spans="1:14" x14ac:dyDescent="0.25">
      <c r="A958" s="3">
        <v>44875</v>
      </c>
      <c r="B958" s="4">
        <v>2022</v>
      </c>
      <c r="C958" s="5">
        <v>2000</v>
      </c>
      <c r="D958" s="5">
        <v>2020</v>
      </c>
      <c r="E958" s="5">
        <v>1985</v>
      </c>
      <c r="F958" s="5">
        <v>2000</v>
      </c>
      <c r="G958" s="5">
        <v>1688.19</v>
      </c>
      <c r="H958" s="6">
        <v>111703400</v>
      </c>
      <c r="I958" s="22" t="str">
        <f t="shared" si="95"/>
        <v>0</v>
      </c>
      <c r="J958" s="7">
        <f t="shared" si="96"/>
        <v>0</v>
      </c>
      <c r="K958" s="7">
        <f t="shared" si="97"/>
        <v>2.0524060155184367</v>
      </c>
      <c r="L958" s="2" t="str">
        <f t="shared" si="92"/>
        <v>Normal</v>
      </c>
      <c r="M958" s="2" t="str">
        <f t="shared" si="93"/>
        <v>Normal</v>
      </c>
      <c r="N958" s="2" t="str">
        <f t="shared" si="94"/>
        <v>No</v>
      </c>
    </row>
    <row r="959" spans="1:14" x14ac:dyDescent="0.25">
      <c r="A959" s="3">
        <v>44876</v>
      </c>
      <c r="B959" s="4">
        <v>2022</v>
      </c>
      <c r="C959" s="5">
        <v>2080</v>
      </c>
      <c r="D959" s="5">
        <v>2130</v>
      </c>
      <c r="E959" s="5">
        <v>2050</v>
      </c>
      <c r="F959" s="5">
        <v>2120</v>
      </c>
      <c r="G959" s="5">
        <v>1789.48</v>
      </c>
      <c r="H959" s="6">
        <v>262785800</v>
      </c>
      <c r="I959" s="22" t="str">
        <f t="shared" si="95"/>
        <v>+</v>
      </c>
      <c r="J959" s="7">
        <f t="shared" si="96"/>
        <v>6</v>
      </c>
      <c r="K959" s="7">
        <f t="shared" si="97"/>
        <v>135.25317940188032</v>
      </c>
      <c r="L959" s="2" t="str">
        <f t="shared" si="92"/>
        <v>Sharp Price Increase</v>
      </c>
      <c r="M959" s="2" t="str">
        <f t="shared" si="93"/>
        <v>Normal</v>
      </c>
      <c r="N959" s="2" t="str">
        <f t="shared" si="94"/>
        <v>No</v>
      </c>
    </row>
    <row r="960" spans="1:14" x14ac:dyDescent="0.25">
      <c r="A960" s="3">
        <v>44879</v>
      </c>
      <c r="B960" s="4">
        <v>2022</v>
      </c>
      <c r="C960" s="5">
        <v>2150</v>
      </c>
      <c r="D960" s="5">
        <v>2170</v>
      </c>
      <c r="E960" s="5">
        <v>2100</v>
      </c>
      <c r="F960" s="5">
        <v>2120</v>
      </c>
      <c r="G960" s="5">
        <v>1789.48</v>
      </c>
      <c r="H960" s="6">
        <v>148342000</v>
      </c>
      <c r="I960" s="22" t="str">
        <f t="shared" si="95"/>
        <v>0</v>
      </c>
      <c r="J960" s="7">
        <f t="shared" si="96"/>
        <v>0</v>
      </c>
      <c r="K960" s="7">
        <f t="shared" si="97"/>
        <v>-43.550222272284117</v>
      </c>
      <c r="L960" s="2" t="str">
        <f t="shared" si="92"/>
        <v>Normal</v>
      </c>
      <c r="M960" s="2" t="str">
        <f t="shared" si="93"/>
        <v>Normal</v>
      </c>
      <c r="N960" s="2" t="str">
        <f t="shared" si="94"/>
        <v>No</v>
      </c>
    </row>
    <row r="961" spans="1:14" x14ac:dyDescent="0.25">
      <c r="A961" s="3">
        <v>44880</v>
      </c>
      <c r="B961" s="4">
        <v>2022</v>
      </c>
      <c r="C961" s="5">
        <v>2160</v>
      </c>
      <c r="D961" s="5">
        <v>2220</v>
      </c>
      <c r="E961" s="5">
        <v>2130</v>
      </c>
      <c r="F961" s="5">
        <v>2160</v>
      </c>
      <c r="G961" s="5">
        <v>1823.25</v>
      </c>
      <c r="H961" s="6">
        <v>165401200</v>
      </c>
      <c r="I961" s="22" t="str">
        <f t="shared" si="95"/>
        <v>+</v>
      </c>
      <c r="J961" s="7">
        <f t="shared" si="96"/>
        <v>1.8867924528301887</v>
      </c>
      <c r="K961" s="7">
        <f t="shared" si="97"/>
        <v>11.499912364670827</v>
      </c>
      <c r="L961" s="2" t="str">
        <f t="shared" si="92"/>
        <v>Normal</v>
      </c>
      <c r="M961" s="2" t="str">
        <f t="shared" si="93"/>
        <v>Normal</v>
      </c>
      <c r="N961" s="2" t="str">
        <f t="shared" si="94"/>
        <v>No</v>
      </c>
    </row>
    <row r="962" spans="1:14" x14ac:dyDescent="0.25">
      <c r="A962" s="3">
        <v>44881</v>
      </c>
      <c r="B962" s="4">
        <v>2022</v>
      </c>
      <c r="C962" s="5">
        <v>2180</v>
      </c>
      <c r="D962" s="5">
        <v>2180</v>
      </c>
      <c r="E962" s="5">
        <v>2020</v>
      </c>
      <c r="F962" s="5">
        <v>2030</v>
      </c>
      <c r="G962" s="5">
        <v>1713.51</v>
      </c>
      <c r="H962" s="6">
        <v>174441800</v>
      </c>
      <c r="I962" s="22" t="str">
        <f t="shared" si="95"/>
        <v>-</v>
      </c>
      <c r="J962" s="7">
        <f t="shared" si="96"/>
        <v>-6.0185185185185182</v>
      </c>
      <c r="K962" s="7">
        <f t="shared" si="97"/>
        <v>5.4658611908498846</v>
      </c>
      <c r="L962" s="2" t="str">
        <f t="shared" si="92"/>
        <v>Sharp Price Decrease</v>
      </c>
      <c r="M962" s="2" t="str">
        <f t="shared" si="93"/>
        <v>Normal</v>
      </c>
      <c r="N962" s="2" t="str">
        <f t="shared" si="94"/>
        <v>No</v>
      </c>
    </row>
    <row r="963" spans="1:14" x14ac:dyDescent="0.25">
      <c r="A963" s="3">
        <v>44882</v>
      </c>
      <c r="B963" s="4">
        <v>2022</v>
      </c>
      <c r="C963" s="5">
        <v>1985</v>
      </c>
      <c r="D963" s="5">
        <v>1995</v>
      </c>
      <c r="E963" s="5">
        <v>1940</v>
      </c>
      <c r="F963" s="5">
        <v>1975</v>
      </c>
      <c r="G963" s="5">
        <v>1667.09</v>
      </c>
      <c r="H963" s="6">
        <v>149717300</v>
      </c>
      <c r="I963" s="22" t="str">
        <f t="shared" si="95"/>
        <v>-</v>
      </c>
      <c r="J963" s="7">
        <f t="shared" si="96"/>
        <v>-2.7093596059113301</v>
      </c>
      <c r="K963" s="7">
        <f t="shared" si="97"/>
        <v>-14.173495114129755</v>
      </c>
      <c r="L963" s="2" t="str">
        <f t="shared" ref="L963:L1026" si="98">IFERROR(IF(OR(J963="",ISBLANK(J963)),"Normal",IF(J963&lt;=$U$6,"Sharp Price Decrease",IF(J963&gt;=$U$7,"Sharp Price Increase","Normal"))),"Normal")</f>
        <v>Normal</v>
      </c>
      <c r="M963" s="2" t="str">
        <f t="shared" ref="M963:M1026" si="99">IFERROR(IF(OR(K963="",ISBLANK(K963)),"Normal",IF(K963&lt;=$U$8,"Sharp Volume Decrease",IF(K963&gt;=$U$9,"Sharp Volume Increase","Normal"))),"Normal")</f>
        <v>Normal</v>
      </c>
      <c r="N963" s="2" t="str">
        <f t="shared" ref="N963:N1026" si="100">IFERROR(IF(AND(OR(L963="Sharp Price Increase",L963="Sharp Price Decrease"),OR(M963="Sharp Volume Increase",M963="Sharp Volume Decrease")),"Yes","No"),"No")</f>
        <v>No</v>
      </c>
    </row>
    <row r="964" spans="1:14" x14ac:dyDescent="0.25">
      <c r="A964" s="3">
        <v>44883</v>
      </c>
      <c r="B964" s="4">
        <v>2022</v>
      </c>
      <c r="C964" s="5">
        <v>1955</v>
      </c>
      <c r="D964" s="5">
        <v>1985</v>
      </c>
      <c r="E964" s="5">
        <v>1950</v>
      </c>
      <c r="F964" s="5">
        <v>1960</v>
      </c>
      <c r="G964" s="5">
        <v>1654.43</v>
      </c>
      <c r="H964" s="6">
        <v>59274700</v>
      </c>
      <c r="I964" s="22" t="str">
        <f t="shared" ref="I964:I1027" si="101">IFERROR(IF(OR(F963="",F964=""),"",IF(F964-F963&lt;0,"-",IF(F964-F963&gt;0,"+","0"))),"")</f>
        <v>-</v>
      </c>
      <c r="J964" s="7">
        <f t="shared" ref="J964:J1027" si="102">(F964-F963)/F963*100</f>
        <v>-0.75949367088607589</v>
      </c>
      <c r="K964" s="7">
        <f t="shared" ref="K964:K1027" si="103">(H964-H963)/H963*100</f>
        <v>-60.40891733954593</v>
      </c>
      <c r="L964" s="2" t="str">
        <f t="shared" si="98"/>
        <v>Normal</v>
      </c>
      <c r="M964" s="2" t="str">
        <f t="shared" si="99"/>
        <v>Sharp Volume Decrease</v>
      </c>
      <c r="N964" s="2" t="str">
        <f t="shared" si="100"/>
        <v>No</v>
      </c>
    </row>
    <row r="965" spans="1:14" x14ac:dyDescent="0.25">
      <c r="A965" s="3">
        <v>44886</v>
      </c>
      <c r="B965" s="4">
        <v>2022</v>
      </c>
      <c r="C965" s="5">
        <v>1980</v>
      </c>
      <c r="D965" s="5">
        <v>2000</v>
      </c>
      <c r="E965" s="5">
        <v>1955</v>
      </c>
      <c r="F965" s="5">
        <v>1960</v>
      </c>
      <c r="G965" s="5">
        <v>1654.43</v>
      </c>
      <c r="H965" s="6">
        <v>54986700</v>
      </c>
      <c r="I965" s="22" t="str">
        <f t="shared" si="101"/>
        <v>0</v>
      </c>
      <c r="J965" s="7">
        <f t="shared" si="102"/>
        <v>0</v>
      </c>
      <c r="K965" s="7">
        <f t="shared" si="103"/>
        <v>-7.234115060894446</v>
      </c>
      <c r="L965" s="2" t="str">
        <f t="shared" si="98"/>
        <v>Normal</v>
      </c>
      <c r="M965" s="2" t="str">
        <f t="shared" si="99"/>
        <v>Normal</v>
      </c>
      <c r="N965" s="2" t="str">
        <f t="shared" si="100"/>
        <v>No</v>
      </c>
    </row>
    <row r="966" spans="1:14" x14ac:dyDescent="0.25">
      <c r="A966" s="3">
        <v>44887</v>
      </c>
      <c r="B966" s="4">
        <v>2022</v>
      </c>
      <c r="C966" s="5">
        <v>1960</v>
      </c>
      <c r="D966" s="5">
        <v>1970</v>
      </c>
      <c r="E966" s="5">
        <v>1930</v>
      </c>
      <c r="F966" s="5">
        <v>1935</v>
      </c>
      <c r="G966" s="5">
        <v>1633.32</v>
      </c>
      <c r="H966" s="6">
        <v>56464900</v>
      </c>
      <c r="I966" s="22" t="str">
        <f t="shared" si="101"/>
        <v>-</v>
      </c>
      <c r="J966" s="7">
        <f t="shared" si="102"/>
        <v>-1.2755102040816326</v>
      </c>
      <c r="K966" s="7">
        <f t="shared" si="103"/>
        <v>2.6882864401755335</v>
      </c>
      <c r="L966" s="2" t="str">
        <f t="shared" si="98"/>
        <v>Normal</v>
      </c>
      <c r="M966" s="2" t="str">
        <f t="shared" si="99"/>
        <v>Normal</v>
      </c>
      <c r="N966" s="2" t="str">
        <f t="shared" si="100"/>
        <v>No</v>
      </c>
    </row>
    <row r="967" spans="1:14" x14ac:dyDescent="0.25">
      <c r="A967" s="3">
        <v>44888</v>
      </c>
      <c r="B967" s="4">
        <v>2022</v>
      </c>
      <c r="C967" s="5">
        <v>1970</v>
      </c>
      <c r="D967" s="5">
        <v>1985</v>
      </c>
      <c r="E967" s="5">
        <v>1955</v>
      </c>
      <c r="F967" s="5">
        <v>1975</v>
      </c>
      <c r="G967" s="5">
        <v>1667.09</v>
      </c>
      <c r="H967" s="6">
        <v>55881800</v>
      </c>
      <c r="I967" s="22" t="str">
        <f t="shared" si="101"/>
        <v>+</v>
      </c>
      <c r="J967" s="7">
        <f t="shared" si="102"/>
        <v>2.0671834625323</v>
      </c>
      <c r="K967" s="7">
        <f t="shared" si="103"/>
        <v>-1.0326769373540021</v>
      </c>
      <c r="L967" s="2" t="str">
        <f t="shared" si="98"/>
        <v>Normal</v>
      </c>
      <c r="M967" s="2" t="str">
        <f t="shared" si="99"/>
        <v>Normal</v>
      </c>
      <c r="N967" s="2" t="str">
        <f t="shared" si="100"/>
        <v>No</v>
      </c>
    </row>
    <row r="968" spans="1:14" x14ac:dyDescent="0.25">
      <c r="A968" s="3">
        <v>44889</v>
      </c>
      <c r="B968" s="4">
        <v>2022</v>
      </c>
      <c r="C968" s="5">
        <v>1975</v>
      </c>
      <c r="D968" s="5">
        <v>1990</v>
      </c>
      <c r="E968" s="5">
        <v>1960</v>
      </c>
      <c r="F968" s="5">
        <v>1970</v>
      </c>
      <c r="G968" s="5">
        <v>1662.87</v>
      </c>
      <c r="H968" s="6">
        <v>35329400</v>
      </c>
      <c r="I968" s="22" t="str">
        <f t="shared" si="101"/>
        <v>-</v>
      </c>
      <c r="J968" s="7">
        <f t="shared" si="102"/>
        <v>-0.25316455696202533</v>
      </c>
      <c r="K968" s="7">
        <f t="shared" si="103"/>
        <v>-36.778342859392502</v>
      </c>
      <c r="L968" s="2" t="str">
        <f t="shared" si="98"/>
        <v>Normal</v>
      </c>
      <c r="M968" s="2" t="str">
        <f t="shared" si="99"/>
        <v>Normal</v>
      </c>
      <c r="N968" s="2" t="str">
        <f t="shared" si="100"/>
        <v>No</v>
      </c>
    </row>
    <row r="969" spans="1:14" x14ac:dyDescent="0.25">
      <c r="A969" s="3">
        <v>44890</v>
      </c>
      <c r="B969" s="4">
        <v>2022</v>
      </c>
      <c r="C969" s="5">
        <v>1970</v>
      </c>
      <c r="D969" s="5">
        <v>1975</v>
      </c>
      <c r="E969" s="5">
        <v>1945</v>
      </c>
      <c r="F969" s="5">
        <v>1950</v>
      </c>
      <c r="G969" s="5">
        <v>1645.99</v>
      </c>
      <c r="H969" s="6">
        <v>30261700</v>
      </c>
      <c r="I969" s="22" t="str">
        <f t="shared" si="101"/>
        <v>-</v>
      </c>
      <c r="J969" s="7">
        <f t="shared" si="102"/>
        <v>-1.015228426395939</v>
      </c>
      <c r="K969" s="7">
        <f t="shared" si="103"/>
        <v>-14.344143970743914</v>
      </c>
      <c r="L969" s="2" t="str">
        <f t="shared" si="98"/>
        <v>Normal</v>
      </c>
      <c r="M969" s="2" t="str">
        <f t="shared" si="99"/>
        <v>Normal</v>
      </c>
      <c r="N969" s="2" t="str">
        <f t="shared" si="100"/>
        <v>No</v>
      </c>
    </row>
    <row r="970" spans="1:14" x14ac:dyDescent="0.25">
      <c r="A970" s="3">
        <v>44893</v>
      </c>
      <c r="B970" s="4">
        <v>2022</v>
      </c>
      <c r="C970" s="5">
        <v>1945</v>
      </c>
      <c r="D970" s="5">
        <v>1945</v>
      </c>
      <c r="E970" s="5">
        <v>1910</v>
      </c>
      <c r="F970" s="5">
        <v>1915</v>
      </c>
      <c r="G970" s="5">
        <v>1616.44</v>
      </c>
      <c r="H970" s="6">
        <v>64871100</v>
      </c>
      <c r="I970" s="22" t="str">
        <f t="shared" si="101"/>
        <v>-</v>
      </c>
      <c r="J970" s="7">
        <f t="shared" si="102"/>
        <v>-1.7948717948717947</v>
      </c>
      <c r="K970" s="7">
        <f t="shared" si="103"/>
        <v>114.36700515833545</v>
      </c>
      <c r="L970" s="2" t="str">
        <f t="shared" si="98"/>
        <v>Normal</v>
      </c>
      <c r="M970" s="2" t="str">
        <f t="shared" si="99"/>
        <v>Normal</v>
      </c>
      <c r="N970" s="2" t="str">
        <f t="shared" si="100"/>
        <v>No</v>
      </c>
    </row>
    <row r="971" spans="1:14" x14ac:dyDescent="0.25">
      <c r="A971" s="3">
        <v>44894</v>
      </c>
      <c r="B971" s="4">
        <v>2022</v>
      </c>
      <c r="C971" s="5">
        <v>1935</v>
      </c>
      <c r="D971" s="5">
        <v>1965</v>
      </c>
      <c r="E971" s="5">
        <v>1925</v>
      </c>
      <c r="F971" s="5">
        <v>1965</v>
      </c>
      <c r="G971" s="5">
        <v>1658.65</v>
      </c>
      <c r="H971" s="6">
        <v>56748100</v>
      </c>
      <c r="I971" s="22" t="str">
        <f t="shared" si="101"/>
        <v>+</v>
      </c>
      <c r="J971" s="7">
        <f t="shared" si="102"/>
        <v>2.610966057441253</v>
      </c>
      <c r="K971" s="7">
        <f t="shared" si="103"/>
        <v>-12.521754679664751</v>
      </c>
      <c r="L971" s="2" t="str">
        <f t="shared" si="98"/>
        <v>Normal</v>
      </c>
      <c r="M971" s="2" t="str">
        <f t="shared" si="99"/>
        <v>Normal</v>
      </c>
      <c r="N971" s="2" t="str">
        <f t="shared" si="100"/>
        <v>No</v>
      </c>
    </row>
    <row r="972" spans="1:14" x14ac:dyDescent="0.25">
      <c r="A972" s="3">
        <v>44895</v>
      </c>
      <c r="B972" s="4">
        <v>2022</v>
      </c>
      <c r="C972" s="5">
        <v>1980</v>
      </c>
      <c r="D972" s="5">
        <v>1990</v>
      </c>
      <c r="E972" s="5">
        <v>1965</v>
      </c>
      <c r="F972" s="5">
        <v>1985</v>
      </c>
      <c r="G972" s="5">
        <v>1675.53</v>
      </c>
      <c r="H972" s="6">
        <v>119645000</v>
      </c>
      <c r="I972" s="22" t="str">
        <f t="shared" si="101"/>
        <v>+</v>
      </c>
      <c r="J972" s="7">
        <f t="shared" si="102"/>
        <v>1.0178117048346056</v>
      </c>
      <c r="K972" s="7">
        <f t="shared" si="103"/>
        <v>110.83525263400888</v>
      </c>
      <c r="L972" s="2" t="str">
        <f t="shared" si="98"/>
        <v>Normal</v>
      </c>
      <c r="M972" s="2" t="str">
        <f t="shared" si="99"/>
        <v>Normal</v>
      </c>
      <c r="N972" s="2" t="str">
        <f t="shared" si="100"/>
        <v>No</v>
      </c>
    </row>
    <row r="973" spans="1:14" x14ac:dyDescent="0.25">
      <c r="A973" s="3">
        <v>44896</v>
      </c>
      <c r="B973" s="4">
        <v>2022</v>
      </c>
      <c r="C973" s="5">
        <v>2000</v>
      </c>
      <c r="D973" s="5">
        <v>2060</v>
      </c>
      <c r="E973" s="5">
        <v>1985</v>
      </c>
      <c r="F973" s="5">
        <v>2040</v>
      </c>
      <c r="G973" s="5">
        <v>1721.95</v>
      </c>
      <c r="H973" s="6">
        <v>119554800</v>
      </c>
      <c r="I973" s="22" t="str">
        <f t="shared" si="101"/>
        <v>+</v>
      </c>
      <c r="J973" s="7">
        <f t="shared" si="102"/>
        <v>2.770780856423174</v>
      </c>
      <c r="K973" s="7">
        <f t="shared" si="103"/>
        <v>-7.5389694512934105E-2</v>
      </c>
      <c r="L973" s="2" t="str">
        <f t="shared" si="98"/>
        <v>Normal</v>
      </c>
      <c r="M973" s="2" t="str">
        <f t="shared" si="99"/>
        <v>Normal</v>
      </c>
      <c r="N973" s="2" t="str">
        <f t="shared" si="100"/>
        <v>No</v>
      </c>
    </row>
    <row r="974" spans="1:14" x14ac:dyDescent="0.25">
      <c r="A974" s="3">
        <v>44897</v>
      </c>
      <c r="B974" s="4">
        <v>2022</v>
      </c>
      <c r="C974" s="5">
        <v>2050</v>
      </c>
      <c r="D974" s="5">
        <v>2060</v>
      </c>
      <c r="E974" s="5">
        <v>2020</v>
      </c>
      <c r="F974" s="5">
        <v>2040</v>
      </c>
      <c r="G974" s="5">
        <v>1721.95</v>
      </c>
      <c r="H974" s="6">
        <v>71325000</v>
      </c>
      <c r="I974" s="22" t="str">
        <f t="shared" si="101"/>
        <v>0</v>
      </c>
      <c r="J974" s="7">
        <f t="shared" si="102"/>
        <v>0</v>
      </c>
      <c r="K974" s="7">
        <f t="shared" si="103"/>
        <v>-40.341165724839151</v>
      </c>
      <c r="L974" s="2" t="str">
        <f t="shared" si="98"/>
        <v>Normal</v>
      </c>
      <c r="M974" s="2" t="str">
        <f t="shared" si="99"/>
        <v>Normal</v>
      </c>
      <c r="N974" s="2" t="str">
        <f t="shared" si="100"/>
        <v>No</v>
      </c>
    </row>
    <row r="975" spans="1:14" x14ac:dyDescent="0.25">
      <c r="A975" s="3">
        <v>44900</v>
      </c>
      <c r="B975" s="4">
        <v>2022</v>
      </c>
      <c r="C975" s="5">
        <v>2070</v>
      </c>
      <c r="D975" s="5">
        <v>2080</v>
      </c>
      <c r="E975" s="5">
        <v>2040</v>
      </c>
      <c r="F975" s="5">
        <v>2060</v>
      </c>
      <c r="G975" s="5">
        <v>1738.84</v>
      </c>
      <c r="H975" s="6">
        <v>61782900</v>
      </c>
      <c r="I975" s="22" t="str">
        <f t="shared" si="101"/>
        <v>+</v>
      </c>
      <c r="J975" s="7">
        <f t="shared" si="102"/>
        <v>0.98039215686274506</v>
      </c>
      <c r="K975" s="7">
        <f t="shared" si="103"/>
        <v>-13.378338590956886</v>
      </c>
      <c r="L975" s="2" t="str">
        <f t="shared" si="98"/>
        <v>Normal</v>
      </c>
      <c r="M975" s="2" t="str">
        <f t="shared" si="99"/>
        <v>Normal</v>
      </c>
      <c r="N975" s="2" t="str">
        <f t="shared" si="100"/>
        <v>No</v>
      </c>
    </row>
    <row r="976" spans="1:14" x14ac:dyDescent="0.25">
      <c r="A976" s="3">
        <v>44901</v>
      </c>
      <c r="B976" s="4">
        <v>2022</v>
      </c>
      <c r="C976" s="5">
        <v>2050</v>
      </c>
      <c r="D976" s="5">
        <v>2050</v>
      </c>
      <c r="E976" s="5">
        <v>1945</v>
      </c>
      <c r="F976" s="5">
        <v>1965</v>
      </c>
      <c r="G976" s="5">
        <v>1658.65</v>
      </c>
      <c r="H976" s="6">
        <v>67396800</v>
      </c>
      <c r="I976" s="22" t="str">
        <f t="shared" si="101"/>
        <v>-</v>
      </c>
      <c r="J976" s="7">
        <f t="shared" si="102"/>
        <v>-4.6116504854368934</v>
      </c>
      <c r="K976" s="7">
        <f t="shared" si="103"/>
        <v>9.0864948068154767</v>
      </c>
      <c r="L976" s="2" t="str">
        <f t="shared" si="98"/>
        <v>Sharp Price Decrease</v>
      </c>
      <c r="M976" s="2" t="str">
        <f t="shared" si="99"/>
        <v>Normal</v>
      </c>
      <c r="N976" s="2" t="str">
        <f t="shared" si="100"/>
        <v>No</v>
      </c>
    </row>
    <row r="977" spans="1:14" x14ac:dyDescent="0.25">
      <c r="A977" s="3">
        <v>44902</v>
      </c>
      <c r="B977" s="4">
        <v>2022</v>
      </c>
      <c r="C977" s="5">
        <v>1965</v>
      </c>
      <c r="D977" s="5">
        <v>1985</v>
      </c>
      <c r="E977" s="5">
        <v>1900</v>
      </c>
      <c r="F977" s="5">
        <v>1920</v>
      </c>
      <c r="G977" s="5">
        <v>1620.66</v>
      </c>
      <c r="H977" s="6">
        <v>81990800</v>
      </c>
      <c r="I977" s="22" t="str">
        <f t="shared" si="101"/>
        <v>-</v>
      </c>
      <c r="J977" s="7">
        <f t="shared" si="102"/>
        <v>-2.2900763358778624</v>
      </c>
      <c r="K977" s="7">
        <f t="shared" si="103"/>
        <v>21.65384706692306</v>
      </c>
      <c r="L977" s="2" t="str">
        <f t="shared" si="98"/>
        <v>Normal</v>
      </c>
      <c r="M977" s="2" t="str">
        <f t="shared" si="99"/>
        <v>Normal</v>
      </c>
      <c r="N977" s="2" t="str">
        <f t="shared" si="100"/>
        <v>No</v>
      </c>
    </row>
    <row r="978" spans="1:14" x14ac:dyDescent="0.25">
      <c r="A978" s="3">
        <v>44903</v>
      </c>
      <c r="B978" s="4">
        <v>2022</v>
      </c>
      <c r="C978" s="5">
        <v>1960</v>
      </c>
      <c r="D978" s="5">
        <v>1995</v>
      </c>
      <c r="E978" s="5">
        <v>1920</v>
      </c>
      <c r="F978" s="5">
        <v>1990</v>
      </c>
      <c r="G978" s="5">
        <v>1679.75</v>
      </c>
      <c r="H978" s="6">
        <v>67037700</v>
      </c>
      <c r="I978" s="22" t="str">
        <f t="shared" si="101"/>
        <v>+</v>
      </c>
      <c r="J978" s="7">
        <f t="shared" si="102"/>
        <v>3.6458333333333335</v>
      </c>
      <c r="K978" s="7">
        <f t="shared" si="103"/>
        <v>-18.237533967225591</v>
      </c>
      <c r="L978" s="2" t="str">
        <f t="shared" si="98"/>
        <v>Normal</v>
      </c>
      <c r="M978" s="2" t="str">
        <f t="shared" si="99"/>
        <v>Normal</v>
      </c>
      <c r="N978" s="2" t="str">
        <f t="shared" si="100"/>
        <v>No</v>
      </c>
    </row>
    <row r="979" spans="1:14" x14ac:dyDescent="0.25">
      <c r="A979" s="3">
        <v>44904</v>
      </c>
      <c r="B979" s="4">
        <v>2022</v>
      </c>
      <c r="C979" s="5">
        <v>1960</v>
      </c>
      <c r="D979" s="5">
        <v>1980</v>
      </c>
      <c r="E979" s="5">
        <v>1930</v>
      </c>
      <c r="F979" s="5">
        <v>1935</v>
      </c>
      <c r="G979" s="5">
        <v>1633.32</v>
      </c>
      <c r="H979" s="6">
        <v>49685200</v>
      </c>
      <c r="I979" s="22" t="str">
        <f t="shared" si="101"/>
        <v>-</v>
      </c>
      <c r="J979" s="7">
        <f t="shared" si="102"/>
        <v>-2.7638190954773871</v>
      </c>
      <c r="K979" s="7">
        <f t="shared" si="103"/>
        <v>-25.884688764680174</v>
      </c>
      <c r="L979" s="2" t="str">
        <f t="shared" si="98"/>
        <v>Normal</v>
      </c>
      <c r="M979" s="2" t="str">
        <f t="shared" si="99"/>
        <v>Normal</v>
      </c>
      <c r="N979" s="2" t="str">
        <f t="shared" si="100"/>
        <v>No</v>
      </c>
    </row>
    <row r="980" spans="1:14" x14ac:dyDescent="0.25">
      <c r="A980" s="3">
        <v>44907</v>
      </c>
      <c r="B980" s="4">
        <v>2022</v>
      </c>
      <c r="C980" s="5">
        <v>1930</v>
      </c>
      <c r="D980" s="5">
        <v>1960</v>
      </c>
      <c r="E980" s="5">
        <v>1915</v>
      </c>
      <c r="F980" s="5">
        <v>1950</v>
      </c>
      <c r="G980" s="5">
        <v>1645.99</v>
      </c>
      <c r="H980" s="6">
        <v>31247700</v>
      </c>
      <c r="I980" s="22" t="str">
        <f t="shared" si="101"/>
        <v>+</v>
      </c>
      <c r="J980" s="7">
        <f t="shared" si="102"/>
        <v>0.77519379844961245</v>
      </c>
      <c r="K980" s="7">
        <f t="shared" si="103"/>
        <v>-37.108635972080215</v>
      </c>
      <c r="L980" s="2" t="str">
        <f t="shared" si="98"/>
        <v>Normal</v>
      </c>
      <c r="M980" s="2" t="str">
        <f t="shared" si="99"/>
        <v>Normal</v>
      </c>
      <c r="N980" s="2" t="str">
        <f t="shared" si="100"/>
        <v>No</v>
      </c>
    </row>
    <row r="981" spans="1:14" x14ac:dyDescent="0.25">
      <c r="A981" s="3">
        <v>44908</v>
      </c>
      <c r="B981" s="4">
        <v>2022</v>
      </c>
      <c r="C981" s="5">
        <v>1960</v>
      </c>
      <c r="D981" s="5">
        <v>1965</v>
      </c>
      <c r="E981" s="5">
        <v>1930</v>
      </c>
      <c r="F981" s="5">
        <v>1930</v>
      </c>
      <c r="G981" s="5">
        <v>1629.1</v>
      </c>
      <c r="H981" s="6">
        <v>57151100</v>
      </c>
      <c r="I981" s="22" t="str">
        <f t="shared" si="101"/>
        <v>-</v>
      </c>
      <c r="J981" s="7">
        <f t="shared" si="102"/>
        <v>-1.0256410256410255</v>
      </c>
      <c r="K981" s="7">
        <f t="shared" si="103"/>
        <v>82.89698121781764</v>
      </c>
      <c r="L981" s="2" t="str">
        <f t="shared" si="98"/>
        <v>Normal</v>
      </c>
      <c r="M981" s="2" t="str">
        <f t="shared" si="99"/>
        <v>Normal</v>
      </c>
      <c r="N981" s="2" t="str">
        <f t="shared" si="100"/>
        <v>No</v>
      </c>
    </row>
    <row r="982" spans="1:14" x14ac:dyDescent="0.25">
      <c r="A982" s="3">
        <v>44909</v>
      </c>
      <c r="B982" s="4">
        <v>2022</v>
      </c>
      <c r="C982" s="5">
        <v>1930</v>
      </c>
      <c r="D982" s="5">
        <v>1945</v>
      </c>
      <c r="E982" s="5">
        <v>1915</v>
      </c>
      <c r="F982" s="5">
        <v>1940</v>
      </c>
      <c r="G982" s="5">
        <v>1637.55</v>
      </c>
      <c r="H982" s="6">
        <v>47643500</v>
      </c>
      <c r="I982" s="22" t="str">
        <f t="shared" si="101"/>
        <v>+</v>
      </c>
      <c r="J982" s="7">
        <f t="shared" si="102"/>
        <v>0.5181347150259068</v>
      </c>
      <c r="K982" s="7">
        <f t="shared" si="103"/>
        <v>-16.635900271385854</v>
      </c>
      <c r="L982" s="2" t="str">
        <f t="shared" si="98"/>
        <v>Normal</v>
      </c>
      <c r="M982" s="2" t="str">
        <f t="shared" si="99"/>
        <v>Normal</v>
      </c>
      <c r="N982" s="2" t="str">
        <f t="shared" si="100"/>
        <v>No</v>
      </c>
    </row>
    <row r="983" spans="1:14" x14ac:dyDescent="0.25">
      <c r="A983" s="3">
        <v>44910</v>
      </c>
      <c r="B983" s="4">
        <v>2022</v>
      </c>
      <c r="C983" s="5">
        <v>1940</v>
      </c>
      <c r="D983" s="5">
        <v>1940</v>
      </c>
      <c r="E983" s="5">
        <v>1920</v>
      </c>
      <c r="F983" s="5">
        <v>1935</v>
      </c>
      <c r="G983" s="5">
        <v>1633.32</v>
      </c>
      <c r="H983" s="6">
        <v>33879300</v>
      </c>
      <c r="I983" s="22" t="str">
        <f t="shared" si="101"/>
        <v>-</v>
      </c>
      <c r="J983" s="7">
        <f t="shared" si="102"/>
        <v>-0.25773195876288657</v>
      </c>
      <c r="K983" s="7">
        <f t="shared" si="103"/>
        <v>-28.889984992706246</v>
      </c>
      <c r="L983" s="2" t="str">
        <f t="shared" si="98"/>
        <v>Normal</v>
      </c>
      <c r="M983" s="2" t="str">
        <f t="shared" si="99"/>
        <v>Normal</v>
      </c>
      <c r="N983" s="2" t="str">
        <f t="shared" si="100"/>
        <v>No</v>
      </c>
    </row>
    <row r="984" spans="1:14" x14ac:dyDescent="0.25">
      <c r="A984" s="3">
        <v>44911</v>
      </c>
      <c r="B984" s="4">
        <v>2022</v>
      </c>
      <c r="C984" s="5">
        <v>1915</v>
      </c>
      <c r="D984" s="5">
        <v>2030</v>
      </c>
      <c r="E984" s="5">
        <v>1915</v>
      </c>
      <c r="F984" s="5">
        <v>2020</v>
      </c>
      <c r="G984" s="5">
        <v>1705.07</v>
      </c>
      <c r="H984" s="6">
        <v>96998400</v>
      </c>
      <c r="I984" s="22" t="str">
        <f t="shared" si="101"/>
        <v>+</v>
      </c>
      <c r="J984" s="7">
        <f t="shared" si="102"/>
        <v>4.3927648578811365</v>
      </c>
      <c r="K984" s="7">
        <f t="shared" si="103"/>
        <v>186.30579734528163</v>
      </c>
      <c r="L984" s="2" t="str">
        <f t="shared" si="98"/>
        <v>Normal</v>
      </c>
      <c r="M984" s="2" t="str">
        <f t="shared" si="99"/>
        <v>Sharp Volume Increase</v>
      </c>
      <c r="N984" s="2" t="str">
        <f t="shared" si="100"/>
        <v>No</v>
      </c>
    </row>
    <row r="985" spans="1:14" x14ac:dyDescent="0.25">
      <c r="A985" s="3">
        <v>44914</v>
      </c>
      <c r="B985" s="4">
        <v>2022</v>
      </c>
      <c r="C985" s="5">
        <v>2030</v>
      </c>
      <c r="D985" s="5">
        <v>2060</v>
      </c>
      <c r="E985" s="5">
        <v>2000</v>
      </c>
      <c r="F985" s="5">
        <v>2040</v>
      </c>
      <c r="G985" s="5">
        <v>1721.95</v>
      </c>
      <c r="H985" s="6">
        <v>84860900</v>
      </c>
      <c r="I985" s="22" t="str">
        <f t="shared" si="101"/>
        <v>+</v>
      </c>
      <c r="J985" s="7">
        <f t="shared" si="102"/>
        <v>0.99009900990099009</v>
      </c>
      <c r="K985" s="7">
        <f t="shared" si="103"/>
        <v>-12.513092999472155</v>
      </c>
      <c r="L985" s="2" t="str">
        <f t="shared" si="98"/>
        <v>Normal</v>
      </c>
      <c r="M985" s="2" t="str">
        <f t="shared" si="99"/>
        <v>Normal</v>
      </c>
      <c r="N985" s="2" t="str">
        <f t="shared" si="100"/>
        <v>No</v>
      </c>
    </row>
    <row r="986" spans="1:14" x14ac:dyDescent="0.25">
      <c r="A986" s="3">
        <v>44915</v>
      </c>
      <c r="B986" s="4">
        <v>2022</v>
      </c>
      <c r="C986" s="5">
        <v>2030</v>
      </c>
      <c r="D986" s="5">
        <v>2030</v>
      </c>
      <c r="E986" s="5">
        <v>1985</v>
      </c>
      <c r="F986" s="5">
        <v>2010</v>
      </c>
      <c r="G986" s="5">
        <v>1696.63</v>
      </c>
      <c r="H986" s="6">
        <v>52011600</v>
      </c>
      <c r="I986" s="22" t="str">
        <f t="shared" si="101"/>
        <v>-</v>
      </c>
      <c r="J986" s="7">
        <f t="shared" si="102"/>
        <v>-1.4705882352941175</v>
      </c>
      <c r="K986" s="7">
        <f t="shared" si="103"/>
        <v>-38.709582387177136</v>
      </c>
      <c r="L986" s="2" t="str">
        <f t="shared" si="98"/>
        <v>Normal</v>
      </c>
      <c r="M986" s="2" t="str">
        <f t="shared" si="99"/>
        <v>Normal</v>
      </c>
      <c r="N986" s="2" t="str">
        <f t="shared" si="100"/>
        <v>No</v>
      </c>
    </row>
    <row r="987" spans="1:14" x14ac:dyDescent="0.25">
      <c r="A987" s="3">
        <v>44916</v>
      </c>
      <c r="B987" s="4">
        <v>2022</v>
      </c>
      <c r="C987" s="5">
        <v>2020</v>
      </c>
      <c r="D987" s="5">
        <v>2070</v>
      </c>
      <c r="E987" s="5">
        <v>2020</v>
      </c>
      <c r="F987" s="5">
        <v>2040</v>
      </c>
      <c r="G987" s="5">
        <v>1721.95</v>
      </c>
      <c r="H987" s="6">
        <v>63043600</v>
      </c>
      <c r="I987" s="22" t="str">
        <f t="shared" si="101"/>
        <v>+</v>
      </c>
      <c r="J987" s="7">
        <f t="shared" si="102"/>
        <v>1.4925373134328357</v>
      </c>
      <c r="K987" s="7">
        <f t="shared" si="103"/>
        <v>21.210653008175097</v>
      </c>
      <c r="L987" s="2" t="str">
        <f t="shared" si="98"/>
        <v>Normal</v>
      </c>
      <c r="M987" s="2" t="str">
        <f t="shared" si="99"/>
        <v>Normal</v>
      </c>
      <c r="N987" s="2" t="str">
        <f t="shared" si="100"/>
        <v>No</v>
      </c>
    </row>
    <row r="988" spans="1:14" x14ac:dyDescent="0.25">
      <c r="A988" s="3">
        <v>44917</v>
      </c>
      <c r="B988" s="4">
        <v>2022</v>
      </c>
      <c r="C988" s="5">
        <v>2070</v>
      </c>
      <c r="D988" s="5">
        <v>2080</v>
      </c>
      <c r="E988" s="5">
        <v>2020</v>
      </c>
      <c r="F988" s="5">
        <v>2030</v>
      </c>
      <c r="G988" s="5">
        <v>1713.51</v>
      </c>
      <c r="H988" s="6">
        <v>38430500</v>
      </c>
      <c r="I988" s="22" t="str">
        <f t="shared" si="101"/>
        <v>-</v>
      </c>
      <c r="J988" s="7">
        <f t="shared" si="102"/>
        <v>-0.49019607843137253</v>
      </c>
      <c r="K988" s="7">
        <f t="shared" si="103"/>
        <v>-39.041393575239994</v>
      </c>
      <c r="L988" s="2" t="str">
        <f t="shared" si="98"/>
        <v>Normal</v>
      </c>
      <c r="M988" s="2" t="str">
        <f t="shared" si="99"/>
        <v>Normal</v>
      </c>
      <c r="N988" s="2" t="str">
        <f t="shared" si="100"/>
        <v>No</v>
      </c>
    </row>
    <row r="989" spans="1:14" x14ac:dyDescent="0.25">
      <c r="A989" s="3">
        <v>44918</v>
      </c>
      <c r="B989" s="4">
        <v>2022</v>
      </c>
      <c r="C989" s="5">
        <v>2030</v>
      </c>
      <c r="D989" s="5">
        <v>2030</v>
      </c>
      <c r="E989" s="5">
        <v>1995</v>
      </c>
      <c r="F989" s="5">
        <v>2000</v>
      </c>
      <c r="G989" s="5">
        <v>1688.19</v>
      </c>
      <c r="H989" s="6">
        <v>33726500</v>
      </c>
      <c r="I989" s="22" t="str">
        <f t="shared" si="101"/>
        <v>-</v>
      </c>
      <c r="J989" s="7">
        <f t="shared" si="102"/>
        <v>-1.4778325123152709</v>
      </c>
      <c r="K989" s="7">
        <f t="shared" si="103"/>
        <v>-12.240277904268746</v>
      </c>
      <c r="L989" s="2" t="str">
        <f t="shared" si="98"/>
        <v>Normal</v>
      </c>
      <c r="M989" s="2" t="str">
        <f t="shared" si="99"/>
        <v>Normal</v>
      </c>
      <c r="N989" s="2" t="str">
        <f t="shared" si="100"/>
        <v>No</v>
      </c>
    </row>
    <row r="990" spans="1:14" x14ac:dyDescent="0.25">
      <c r="A990" s="3">
        <v>44921</v>
      </c>
      <c r="B990" s="4">
        <v>2022</v>
      </c>
      <c r="C990" s="5">
        <v>2010</v>
      </c>
      <c r="D990" s="5">
        <v>2030</v>
      </c>
      <c r="E990" s="5">
        <v>1995</v>
      </c>
      <c r="F990" s="5">
        <v>2000</v>
      </c>
      <c r="G990" s="5">
        <v>1688.19</v>
      </c>
      <c r="H990" s="6">
        <v>15934600</v>
      </c>
      <c r="I990" s="22" t="str">
        <f t="shared" si="101"/>
        <v>0</v>
      </c>
      <c r="J990" s="7">
        <f t="shared" si="102"/>
        <v>0</v>
      </c>
      <c r="K990" s="7">
        <f t="shared" si="103"/>
        <v>-52.753472788460108</v>
      </c>
      <c r="L990" s="2" t="str">
        <f t="shared" si="98"/>
        <v>Normal</v>
      </c>
      <c r="M990" s="2" t="str">
        <f t="shared" si="99"/>
        <v>Normal</v>
      </c>
      <c r="N990" s="2" t="str">
        <f t="shared" si="100"/>
        <v>No</v>
      </c>
    </row>
    <row r="991" spans="1:14" x14ac:dyDescent="0.25">
      <c r="A991" s="3">
        <v>44922</v>
      </c>
      <c r="B991" s="4">
        <v>2022</v>
      </c>
      <c r="C991" s="5">
        <v>2010</v>
      </c>
      <c r="D991" s="5">
        <v>2040</v>
      </c>
      <c r="E991" s="5">
        <v>1985</v>
      </c>
      <c r="F991" s="5">
        <v>1990</v>
      </c>
      <c r="G991" s="5">
        <v>1679.75</v>
      </c>
      <c r="H991" s="6">
        <v>36854400</v>
      </c>
      <c r="I991" s="22" t="str">
        <f t="shared" si="101"/>
        <v>-</v>
      </c>
      <c r="J991" s="7">
        <f t="shared" si="102"/>
        <v>-0.5</v>
      </c>
      <c r="K991" s="7">
        <f t="shared" si="103"/>
        <v>131.28537898660778</v>
      </c>
      <c r="L991" s="2" t="str">
        <f t="shared" si="98"/>
        <v>Normal</v>
      </c>
      <c r="M991" s="2" t="str">
        <f t="shared" si="99"/>
        <v>Normal</v>
      </c>
      <c r="N991" s="2" t="str">
        <f t="shared" si="100"/>
        <v>No</v>
      </c>
    </row>
    <row r="992" spans="1:14" x14ac:dyDescent="0.25">
      <c r="A992" s="3">
        <v>44923</v>
      </c>
      <c r="B992" s="4">
        <v>2022</v>
      </c>
      <c r="C992" s="5">
        <v>1990</v>
      </c>
      <c r="D992" s="5">
        <v>2010</v>
      </c>
      <c r="E992" s="5">
        <v>1940</v>
      </c>
      <c r="F992" s="5">
        <v>2010</v>
      </c>
      <c r="G992" s="5">
        <v>1696.63</v>
      </c>
      <c r="H992" s="6">
        <v>62750900</v>
      </c>
      <c r="I992" s="22" t="str">
        <f t="shared" si="101"/>
        <v>+</v>
      </c>
      <c r="J992" s="7">
        <f t="shared" si="102"/>
        <v>1.0050251256281406</v>
      </c>
      <c r="K992" s="7">
        <f t="shared" si="103"/>
        <v>70.267050881305892</v>
      </c>
      <c r="L992" s="2" t="str">
        <f t="shared" si="98"/>
        <v>Normal</v>
      </c>
      <c r="M992" s="2" t="str">
        <f t="shared" si="99"/>
        <v>Normal</v>
      </c>
      <c r="N992" s="2" t="str">
        <f t="shared" si="100"/>
        <v>No</v>
      </c>
    </row>
    <row r="993" spans="1:14" x14ac:dyDescent="0.25">
      <c r="A993" s="3">
        <v>44924</v>
      </c>
      <c r="B993" s="4">
        <v>2022</v>
      </c>
      <c r="C993" s="5">
        <v>2000</v>
      </c>
      <c r="D993" s="5">
        <v>2020</v>
      </c>
      <c r="E993" s="5">
        <v>1970</v>
      </c>
      <c r="F993" s="5">
        <v>2010</v>
      </c>
      <c r="G993" s="5">
        <v>1696.63</v>
      </c>
      <c r="H993" s="6">
        <v>43604000</v>
      </c>
      <c r="I993" s="22" t="str">
        <f t="shared" si="101"/>
        <v>0</v>
      </c>
      <c r="J993" s="7">
        <f t="shared" si="102"/>
        <v>0</v>
      </c>
      <c r="K993" s="7">
        <f t="shared" si="103"/>
        <v>-30.512550417603574</v>
      </c>
      <c r="L993" s="2" t="str">
        <f t="shared" si="98"/>
        <v>Normal</v>
      </c>
      <c r="M993" s="2" t="str">
        <f t="shared" si="99"/>
        <v>Normal</v>
      </c>
      <c r="N993" s="2" t="str">
        <f t="shared" si="100"/>
        <v>No</v>
      </c>
    </row>
    <row r="994" spans="1:14" x14ac:dyDescent="0.25">
      <c r="A994" s="3">
        <v>44925</v>
      </c>
      <c r="B994" s="4">
        <v>2022</v>
      </c>
      <c r="C994" s="5">
        <v>2010</v>
      </c>
      <c r="D994" s="5">
        <v>2020</v>
      </c>
      <c r="E994" s="5">
        <v>1985</v>
      </c>
      <c r="F994" s="5">
        <v>1985</v>
      </c>
      <c r="G994" s="5">
        <v>1675.53</v>
      </c>
      <c r="H994" s="6">
        <v>23123000</v>
      </c>
      <c r="I994" s="22" t="str">
        <f t="shared" si="101"/>
        <v>-</v>
      </c>
      <c r="J994" s="7">
        <f t="shared" si="102"/>
        <v>-1.2437810945273633</v>
      </c>
      <c r="K994" s="7">
        <f t="shared" si="103"/>
        <v>-46.970461425557289</v>
      </c>
      <c r="L994" s="2" t="str">
        <f t="shared" si="98"/>
        <v>Normal</v>
      </c>
      <c r="M994" s="2" t="str">
        <f t="shared" si="99"/>
        <v>Normal</v>
      </c>
      <c r="N994" s="2" t="str">
        <f t="shared" si="100"/>
        <v>No</v>
      </c>
    </row>
    <row r="995" spans="1:14" x14ac:dyDescent="0.25">
      <c r="A995" s="3">
        <v>44928</v>
      </c>
      <c r="B995" s="4">
        <v>2023</v>
      </c>
      <c r="C995" s="5">
        <v>1990</v>
      </c>
      <c r="D995" s="5">
        <v>2010</v>
      </c>
      <c r="E995" s="5">
        <v>1975</v>
      </c>
      <c r="F995" s="5">
        <v>1980</v>
      </c>
      <c r="G995" s="5">
        <v>1671.31</v>
      </c>
      <c r="H995" s="6">
        <v>15045200</v>
      </c>
      <c r="I995" s="22" t="str">
        <f t="shared" si="101"/>
        <v>-</v>
      </c>
      <c r="J995" s="7">
        <f t="shared" si="102"/>
        <v>-0.25188916876574308</v>
      </c>
      <c r="K995" s="7">
        <f t="shared" si="103"/>
        <v>-34.934048350127576</v>
      </c>
      <c r="L995" s="2" t="str">
        <f t="shared" si="98"/>
        <v>Normal</v>
      </c>
      <c r="M995" s="2" t="str">
        <f t="shared" si="99"/>
        <v>Normal</v>
      </c>
      <c r="N995" s="2" t="str">
        <f t="shared" si="100"/>
        <v>No</v>
      </c>
    </row>
    <row r="996" spans="1:14" x14ac:dyDescent="0.25">
      <c r="A996" s="3">
        <v>44929</v>
      </c>
      <c r="B996" s="4">
        <v>2023</v>
      </c>
      <c r="C996" s="5">
        <v>1980</v>
      </c>
      <c r="D996" s="5">
        <v>2020</v>
      </c>
      <c r="E996" s="5">
        <v>1975</v>
      </c>
      <c r="F996" s="5">
        <v>2000</v>
      </c>
      <c r="G996" s="5">
        <v>1688.19</v>
      </c>
      <c r="H996" s="6">
        <v>45001200</v>
      </c>
      <c r="I996" s="22" t="str">
        <f t="shared" si="101"/>
        <v>+</v>
      </c>
      <c r="J996" s="7">
        <f t="shared" si="102"/>
        <v>1.0101010101010102</v>
      </c>
      <c r="K996" s="7">
        <f t="shared" si="103"/>
        <v>199.10669183526971</v>
      </c>
      <c r="L996" s="2" t="str">
        <f t="shared" si="98"/>
        <v>Normal</v>
      </c>
      <c r="M996" s="2" t="str">
        <f t="shared" si="99"/>
        <v>Sharp Volume Increase</v>
      </c>
      <c r="N996" s="2" t="str">
        <f t="shared" si="100"/>
        <v>No</v>
      </c>
    </row>
    <row r="997" spans="1:14" x14ac:dyDescent="0.25">
      <c r="A997" s="3">
        <v>44930</v>
      </c>
      <c r="B997" s="4">
        <v>2023</v>
      </c>
      <c r="C997" s="5">
        <v>2020</v>
      </c>
      <c r="D997" s="5">
        <v>2100</v>
      </c>
      <c r="E997" s="5">
        <v>2010</v>
      </c>
      <c r="F997" s="5">
        <v>2050</v>
      </c>
      <c r="G997" s="5">
        <v>1730.4</v>
      </c>
      <c r="H997" s="6">
        <v>142169900</v>
      </c>
      <c r="I997" s="22" t="str">
        <f t="shared" si="101"/>
        <v>+</v>
      </c>
      <c r="J997" s="7">
        <f t="shared" si="102"/>
        <v>2.5</v>
      </c>
      <c r="K997" s="7">
        <f t="shared" si="103"/>
        <v>215.9246864528057</v>
      </c>
      <c r="L997" s="2" t="str">
        <f t="shared" si="98"/>
        <v>Normal</v>
      </c>
      <c r="M997" s="2" t="str">
        <f t="shared" si="99"/>
        <v>Sharp Volume Increase</v>
      </c>
      <c r="N997" s="2" t="str">
        <f t="shared" si="100"/>
        <v>No</v>
      </c>
    </row>
    <row r="998" spans="1:14" x14ac:dyDescent="0.25">
      <c r="A998" s="3">
        <v>44931</v>
      </c>
      <c r="B998" s="4">
        <v>2023</v>
      </c>
      <c r="C998" s="5">
        <v>2020</v>
      </c>
      <c r="D998" s="5">
        <v>2050</v>
      </c>
      <c r="E998" s="5">
        <v>1935</v>
      </c>
      <c r="F998" s="5">
        <v>1965</v>
      </c>
      <c r="G998" s="5">
        <v>1658.65</v>
      </c>
      <c r="H998" s="6">
        <v>130118600</v>
      </c>
      <c r="I998" s="22" t="str">
        <f t="shared" si="101"/>
        <v>-</v>
      </c>
      <c r="J998" s="7">
        <f t="shared" si="102"/>
        <v>-4.1463414634146343</v>
      </c>
      <c r="K998" s="7">
        <f t="shared" si="103"/>
        <v>-8.4766888068430806</v>
      </c>
      <c r="L998" s="2" t="str">
        <f t="shared" si="98"/>
        <v>Normal</v>
      </c>
      <c r="M998" s="2" t="str">
        <f t="shared" si="99"/>
        <v>Normal</v>
      </c>
      <c r="N998" s="2" t="str">
        <f t="shared" si="100"/>
        <v>No</v>
      </c>
    </row>
    <row r="999" spans="1:14" x14ac:dyDescent="0.25">
      <c r="A999" s="3">
        <v>44932</v>
      </c>
      <c r="B999" s="4">
        <v>2023</v>
      </c>
      <c r="C999" s="5">
        <v>1950</v>
      </c>
      <c r="D999" s="5">
        <v>1985</v>
      </c>
      <c r="E999" s="5">
        <v>1930</v>
      </c>
      <c r="F999" s="5">
        <v>1985</v>
      </c>
      <c r="G999" s="5">
        <v>1675.53</v>
      </c>
      <c r="H999" s="6">
        <v>55673400</v>
      </c>
      <c r="I999" s="22" t="str">
        <f t="shared" si="101"/>
        <v>+</v>
      </c>
      <c r="J999" s="7">
        <f t="shared" si="102"/>
        <v>1.0178117048346056</v>
      </c>
      <c r="K999" s="7">
        <f t="shared" si="103"/>
        <v>-57.213342289265334</v>
      </c>
      <c r="L999" s="2" t="str">
        <f t="shared" si="98"/>
        <v>Normal</v>
      </c>
      <c r="M999" s="2" t="str">
        <f t="shared" si="99"/>
        <v>Sharp Volume Decrease</v>
      </c>
      <c r="N999" s="2" t="str">
        <f t="shared" si="100"/>
        <v>No</v>
      </c>
    </row>
    <row r="1000" spans="1:14" x14ac:dyDescent="0.25">
      <c r="A1000" s="3">
        <v>44935</v>
      </c>
      <c r="B1000" s="4">
        <v>2023</v>
      </c>
      <c r="C1000" s="5">
        <v>2010</v>
      </c>
      <c r="D1000" s="5">
        <v>2070</v>
      </c>
      <c r="E1000" s="5">
        <v>2010</v>
      </c>
      <c r="F1000" s="5">
        <v>2060</v>
      </c>
      <c r="G1000" s="5">
        <v>1738.84</v>
      </c>
      <c r="H1000" s="6">
        <v>118054500</v>
      </c>
      <c r="I1000" s="22" t="str">
        <f t="shared" si="101"/>
        <v>+</v>
      </c>
      <c r="J1000" s="7">
        <f t="shared" si="102"/>
        <v>3.7783375314861463</v>
      </c>
      <c r="K1000" s="7">
        <f t="shared" si="103"/>
        <v>112.04830313938075</v>
      </c>
      <c r="L1000" s="2" t="str">
        <f t="shared" si="98"/>
        <v>Normal</v>
      </c>
      <c r="M1000" s="2" t="str">
        <f t="shared" si="99"/>
        <v>Normal</v>
      </c>
      <c r="N1000" s="2" t="str">
        <f t="shared" si="100"/>
        <v>No</v>
      </c>
    </row>
    <row r="1001" spans="1:14" x14ac:dyDescent="0.25">
      <c r="A1001" s="3">
        <v>44936</v>
      </c>
      <c r="B1001" s="4">
        <v>2023</v>
      </c>
      <c r="C1001" s="5">
        <v>2040</v>
      </c>
      <c r="D1001" s="5">
        <v>2060</v>
      </c>
      <c r="E1001" s="5">
        <v>2000</v>
      </c>
      <c r="F1001" s="5">
        <v>2040</v>
      </c>
      <c r="G1001" s="5">
        <v>1721.95</v>
      </c>
      <c r="H1001" s="6">
        <v>57625700</v>
      </c>
      <c r="I1001" s="22" t="str">
        <f t="shared" si="101"/>
        <v>-</v>
      </c>
      <c r="J1001" s="7">
        <f t="shared" si="102"/>
        <v>-0.97087378640776689</v>
      </c>
      <c r="K1001" s="7">
        <f t="shared" si="103"/>
        <v>-51.187205909135194</v>
      </c>
      <c r="L1001" s="2" t="str">
        <f t="shared" si="98"/>
        <v>Normal</v>
      </c>
      <c r="M1001" s="2" t="str">
        <f t="shared" si="99"/>
        <v>Normal</v>
      </c>
      <c r="N1001" s="2" t="str">
        <f t="shared" si="100"/>
        <v>No</v>
      </c>
    </row>
    <row r="1002" spans="1:14" x14ac:dyDescent="0.25">
      <c r="A1002" s="3">
        <v>44937</v>
      </c>
      <c r="B1002" s="4">
        <v>2023</v>
      </c>
      <c r="C1002" s="5">
        <v>2050</v>
      </c>
      <c r="D1002" s="5">
        <v>2070</v>
      </c>
      <c r="E1002" s="5">
        <v>2020</v>
      </c>
      <c r="F1002" s="5">
        <v>2070</v>
      </c>
      <c r="G1002" s="5">
        <v>1747.28</v>
      </c>
      <c r="H1002" s="6">
        <v>48480600</v>
      </c>
      <c r="I1002" s="22" t="str">
        <f t="shared" si="101"/>
        <v>+</v>
      </c>
      <c r="J1002" s="7">
        <f t="shared" si="102"/>
        <v>1.4705882352941175</v>
      </c>
      <c r="K1002" s="7">
        <f t="shared" si="103"/>
        <v>-15.869828913141184</v>
      </c>
      <c r="L1002" s="2" t="str">
        <f t="shared" si="98"/>
        <v>Normal</v>
      </c>
      <c r="M1002" s="2" t="str">
        <f t="shared" si="99"/>
        <v>Normal</v>
      </c>
      <c r="N1002" s="2" t="str">
        <f t="shared" si="100"/>
        <v>No</v>
      </c>
    </row>
    <row r="1003" spans="1:14" x14ac:dyDescent="0.25">
      <c r="A1003" s="3">
        <v>44938</v>
      </c>
      <c r="B1003" s="4">
        <v>2023</v>
      </c>
      <c r="C1003" s="5">
        <v>2060</v>
      </c>
      <c r="D1003" s="5">
        <v>2140</v>
      </c>
      <c r="E1003" s="5">
        <v>2040</v>
      </c>
      <c r="F1003" s="5">
        <v>2130</v>
      </c>
      <c r="G1003" s="5">
        <v>1797.92</v>
      </c>
      <c r="H1003" s="6">
        <v>185136300</v>
      </c>
      <c r="I1003" s="22" t="str">
        <f t="shared" si="101"/>
        <v>+</v>
      </c>
      <c r="J1003" s="7">
        <f t="shared" si="102"/>
        <v>2.8985507246376812</v>
      </c>
      <c r="K1003" s="7">
        <f t="shared" si="103"/>
        <v>281.87708072919889</v>
      </c>
      <c r="L1003" s="2" t="str">
        <f t="shared" si="98"/>
        <v>Normal</v>
      </c>
      <c r="M1003" s="2" t="str">
        <f t="shared" si="99"/>
        <v>Sharp Volume Increase</v>
      </c>
      <c r="N1003" s="2" t="str">
        <f t="shared" si="100"/>
        <v>No</v>
      </c>
    </row>
    <row r="1004" spans="1:14" x14ac:dyDescent="0.25">
      <c r="A1004" s="3">
        <v>44939</v>
      </c>
      <c r="B1004" s="4">
        <v>2023</v>
      </c>
      <c r="C1004" s="5">
        <v>2150</v>
      </c>
      <c r="D1004" s="5">
        <v>2170</v>
      </c>
      <c r="E1004" s="5">
        <v>2090</v>
      </c>
      <c r="F1004" s="5">
        <v>2150</v>
      </c>
      <c r="G1004" s="5">
        <v>1814.81</v>
      </c>
      <c r="H1004" s="6">
        <v>148853000</v>
      </c>
      <c r="I1004" s="22" t="str">
        <f t="shared" si="101"/>
        <v>+</v>
      </c>
      <c r="J1004" s="7">
        <f t="shared" si="102"/>
        <v>0.93896713615023475</v>
      </c>
      <c r="K1004" s="7">
        <f t="shared" si="103"/>
        <v>-19.598155521094458</v>
      </c>
      <c r="L1004" s="2" t="str">
        <f t="shared" si="98"/>
        <v>Normal</v>
      </c>
      <c r="M1004" s="2" t="str">
        <f t="shared" si="99"/>
        <v>Normal</v>
      </c>
      <c r="N1004" s="2" t="str">
        <f t="shared" si="100"/>
        <v>No</v>
      </c>
    </row>
    <row r="1005" spans="1:14" x14ac:dyDescent="0.25">
      <c r="A1005" s="3">
        <v>44942</v>
      </c>
      <c r="B1005" s="4">
        <v>2023</v>
      </c>
      <c r="C1005" s="5">
        <v>2160</v>
      </c>
      <c r="D1005" s="5">
        <v>2200</v>
      </c>
      <c r="E1005" s="5">
        <v>2150</v>
      </c>
      <c r="F1005" s="5">
        <v>2180</v>
      </c>
      <c r="G1005" s="5">
        <v>1840.13</v>
      </c>
      <c r="H1005" s="6">
        <v>92259000</v>
      </c>
      <c r="I1005" s="22" t="str">
        <f t="shared" si="101"/>
        <v>+</v>
      </c>
      <c r="J1005" s="7">
        <f t="shared" si="102"/>
        <v>1.3953488372093024</v>
      </c>
      <c r="K1005" s="7">
        <f t="shared" si="103"/>
        <v>-38.02006005925309</v>
      </c>
      <c r="L1005" s="2" t="str">
        <f t="shared" si="98"/>
        <v>Normal</v>
      </c>
      <c r="M1005" s="2" t="str">
        <f t="shared" si="99"/>
        <v>Normal</v>
      </c>
      <c r="N1005" s="2" t="str">
        <f t="shared" si="100"/>
        <v>No</v>
      </c>
    </row>
    <row r="1006" spans="1:14" x14ac:dyDescent="0.25">
      <c r="A1006" s="3">
        <v>44943</v>
      </c>
      <c r="B1006" s="4">
        <v>2023</v>
      </c>
      <c r="C1006" s="5">
        <v>2200</v>
      </c>
      <c r="D1006" s="5">
        <v>2290</v>
      </c>
      <c r="E1006" s="5">
        <v>2180</v>
      </c>
      <c r="F1006" s="5">
        <v>2270</v>
      </c>
      <c r="G1006" s="5">
        <v>1916.1</v>
      </c>
      <c r="H1006" s="6">
        <v>242582700</v>
      </c>
      <c r="I1006" s="22" t="str">
        <f t="shared" si="101"/>
        <v>+</v>
      </c>
      <c r="J1006" s="7">
        <f t="shared" si="102"/>
        <v>4.1284403669724776</v>
      </c>
      <c r="K1006" s="7">
        <f t="shared" si="103"/>
        <v>162.93662406919651</v>
      </c>
      <c r="L1006" s="2" t="str">
        <f t="shared" si="98"/>
        <v>Normal</v>
      </c>
      <c r="M1006" s="2" t="str">
        <f t="shared" si="99"/>
        <v>Normal</v>
      </c>
      <c r="N1006" s="2" t="str">
        <f t="shared" si="100"/>
        <v>No</v>
      </c>
    </row>
    <row r="1007" spans="1:14" x14ac:dyDescent="0.25">
      <c r="A1007" s="3">
        <v>44944</v>
      </c>
      <c r="B1007" s="4">
        <v>2023</v>
      </c>
      <c r="C1007" s="5">
        <v>2260</v>
      </c>
      <c r="D1007" s="5">
        <v>2270</v>
      </c>
      <c r="E1007" s="5">
        <v>2210</v>
      </c>
      <c r="F1007" s="5">
        <v>2260</v>
      </c>
      <c r="G1007" s="5">
        <v>1907.66</v>
      </c>
      <c r="H1007" s="6">
        <v>122109900</v>
      </c>
      <c r="I1007" s="22" t="str">
        <f t="shared" si="101"/>
        <v>-</v>
      </c>
      <c r="J1007" s="7">
        <f t="shared" si="102"/>
        <v>-0.44052863436123352</v>
      </c>
      <c r="K1007" s="7">
        <f t="shared" si="103"/>
        <v>-49.662568682762618</v>
      </c>
      <c r="L1007" s="2" t="str">
        <f t="shared" si="98"/>
        <v>Normal</v>
      </c>
      <c r="M1007" s="2" t="str">
        <f t="shared" si="99"/>
        <v>Normal</v>
      </c>
      <c r="N1007" s="2" t="str">
        <f t="shared" si="100"/>
        <v>No</v>
      </c>
    </row>
    <row r="1008" spans="1:14" x14ac:dyDescent="0.25">
      <c r="A1008" s="3">
        <v>44945</v>
      </c>
      <c r="B1008" s="4">
        <v>2023</v>
      </c>
      <c r="C1008" s="5">
        <v>2290</v>
      </c>
      <c r="D1008" s="5">
        <v>2320</v>
      </c>
      <c r="E1008" s="5">
        <v>2270</v>
      </c>
      <c r="F1008" s="5">
        <v>2270</v>
      </c>
      <c r="G1008" s="5">
        <v>1916.1</v>
      </c>
      <c r="H1008" s="6">
        <v>132011300</v>
      </c>
      <c r="I1008" s="22" t="str">
        <f t="shared" si="101"/>
        <v>+</v>
      </c>
      <c r="J1008" s="7">
        <f t="shared" si="102"/>
        <v>0.44247787610619471</v>
      </c>
      <c r="K1008" s="7">
        <f t="shared" si="103"/>
        <v>8.108597255423188</v>
      </c>
      <c r="L1008" s="2" t="str">
        <f t="shared" si="98"/>
        <v>Normal</v>
      </c>
      <c r="M1008" s="2" t="str">
        <f t="shared" si="99"/>
        <v>Normal</v>
      </c>
      <c r="N1008" s="2" t="str">
        <f t="shared" si="100"/>
        <v>No</v>
      </c>
    </row>
    <row r="1009" spans="1:14" x14ac:dyDescent="0.25">
      <c r="A1009" s="3">
        <v>44946</v>
      </c>
      <c r="B1009" s="4">
        <v>2023</v>
      </c>
      <c r="C1009" s="5">
        <v>2300</v>
      </c>
      <c r="D1009" s="5">
        <v>2340</v>
      </c>
      <c r="E1009" s="5">
        <v>2280</v>
      </c>
      <c r="F1009" s="5">
        <v>2320</v>
      </c>
      <c r="G1009" s="5">
        <v>1958.3</v>
      </c>
      <c r="H1009" s="6">
        <v>113403800</v>
      </c>
      <c r="I1009" s="22" t="str">
        <f t="shared" si="101"/>
        <v>+</v>
      </c>
      <c r="J1009" s="7">
        <f t="shared" si="102"/>
        <v>2.2026431718061676</v>
      </c>
      <c r="K1009" s="7">
        <f t="shared" si="103"/>
        <v>-14.095384258771787</v>
      </c>
      <c r="L1009" s="2" t="str">
        <f t="shared" si="98"/>
        <v>Normal</v>
      </c>
      <c r="M1009" s="2" t="str">
        <f t="shared" si="99"/>
        <v>Normal</v>
      </c>
      <c r="N1009" s="2" t="str">
        <f t="shared" si="100"/>
        <v>No</v>
      </c>
    </row>
    <row r="1010" spans="1:14" x14ac:dyDescent="0.25">
      <c r="A1010" s="3">
        <v>44950</v>
      </c>
      <c r="B1010" s="4">
        <v>2023</v>
      </c>
      <c r="C1010" s="5">
        <v>2320</v>
      </c>
      <c r="D1010" s="5">
        <v>2350</v>
      </c>
      <c r="E1010" s="5">
        <v>2280</v>
      </c>
      <c r="F1010" s="5">
        <v>2320</v>
      </c>
      <c r="G1010" s="5">
        <v>1958.3</v>
      </c>
      <c r="H1010" s="6">
        <v>65599100</v>
      </c>
      <c r="I1010" s="22" t="str">
        <f t="shared" si="101"/>
        <v>0</v>
      </c>
      <c r="J1010" s="7">
        <f t="shared" si="102"/>
        <v>0</v>
      </c>
      <c r="K1010" s="7">
        <f t="shared" si="103"/>
        <v>-42.154407524262858</v>
      </c>
      <c r="L1010" s="2" t="str">
        <f t="shared" si="98"/>
        <v>Normal</v>
      </c>
      <c r="M1010" s="2" t="str">
        <f t="shared" si="99"/>
        <v>Normal</v>
      </c>
      <c r="N1010" s="2" t="str">
        <f t="shared" si="100"/>
        <v>No</v>
      </c>
    </row>
    <row r="1011" spans="1:14" x14ac:dyDescent="0.25">
      <c r="A1011" s="3">
        <v>44951</v>
      </c>
      <c r="B1011" s="4">
        <v>2023</v>
      </c>
      <c r="C1011" s="5">
        <v>2340</v>
      </c>
      <c r="D1011" s="5">
        <v>2350</v>
      </c>
      <c r="E1011" s="5">
        <v>2250</v>
      </c>
      <c r="F1011" s="5">
        <v>2290</v>
      </c>
      <c r="G1011" s="5">
        <v>1932.98</v>
      </c>
      <c r="H1011" s="6">
        <v>55275800</v>
      </c>
      <c r="I1011" s="22" t="str">
        <f t="shared" si="101"/>
        <v>-</v>
      </c>
      <c r="J1011" s="7">
        <f t="shared" si="102"/>
        <v>-1.2931034482758621</v>
      </c>
      <c r="K1011" s="7">
        <f t="shared" si="103"/>
        <v>-15.736953708206364</v>
      </c>
      <c r="L1011" s="2" t="str">
        <f t="shared" si="98"/>
        <v>Normal</v>
      </c>
      <c r="M1011" s="2" t="str">
        <f t="shared" si="99"/>
        <v>Normal</v>
      </c>
      <c r="N1011" s="2" t="str">
        <f t="shared" si="100"/>
        <v>No</v>
      </c>
    </row>
    <row r="1012" spans="1:14" x14ac:dyDescent="0.25">
      <c r="A1012" s="3">
        <v>44952</v>
      </c>
      <c r="B1012" s="4">
        <v>2023</v>
      </c>
      <c r="C1012" s="5">
        <v>2330</v>
      </c>
      <c r="D1012" s="5">
        <v>2370</v>
      </c>
      <c r="E1012" s="5">
        <v>2300</v>
      </c>
      <c r="F1012" s="5">
        <v>2320</v>
      </c>
      <c r="G1012" s="5">
        <v>1958.3</v>
      </c>
      <c r="H1012" s="6">
        <v>91463800</v>
      </c>
      <c r="I1012" s="22" t="str">
        <f t="shared" si="101"/>
        <v>+</v>
      </c>
      <c r="J1012" s="7">
        <f t="shared" si="102"/>
        <v>1.3100436681222707</v>
      </c>
      <c r="K1012" s="7">
        <f t="shared" si="103"/>
        <v>65.46807101842036</v>
      </c>
      <c r="L1012" s="2" t="str">
        <f t="shared" si="98"/>
        <v>Normal</v>
      </c>
      <c r="M1012" s="2" t="str">
        <f t="shared" si="99"/>
        <v>Normal</v>
      </c>
      <c r="N1012" s="2" t="str">
        <f t="shared" si="100"/>
        <v>No</v>
      </c>
    </row>
    <row r="1013" spans="1:14" x14ac:dyDescent="0.25">
      <c r="A1013" s="3">
        <v>44953</v>
      </c>
      <c r="B1013" s="4">
        <v>2023</v>
      </c>
      <c r="C1013" s="5">
        <v>2330</v>
      </c>
      <c r="D1013" s="5">
        <v>2330</v>
      </c>
      <c r="E1013" s="5">
        <v>2290</v>
      </c>
      <c r="F1013" s="5">
        <v>2300</v>
      </c>
      <c r="G1013" s="5">
        <v>1941.42</v>
      </c>
      <c r="H1013" s="6">
        <v>36469600</v>
      </c>
      <c r="I1013" s="22" t="str">
        <f t="shared" si="101"/>
        <v>-</v>
      </c>
      <c r="J1013" s="7">
        <f t="shared" si="102"/>
        <v>-0.86206896551724133</v>
      </c>
      <c r="K1013" s="7">
        <f t="shared" si="103"/>
        <v>-60.126738666007753</v>
      </c>
      <c r="L1013" s="2" t="str">
        <f t="shared" si="98"/>
        <v>Normal</v>
      </c>
      <c r="M1013" s="2" t="str">
        <f t="shared" si="99"/>
        <v>Sharp Volume Decrease</v>
      </c>
      <c r="N1013" s="2" t="str">
        <f t="shared" si="100"/>
        <v>No</v>
      </c>
    </row>
    <row r="1014" spans="1:14" x14ac:dyDescent="0.25">
      <c r="A1014" s="3">
        <v>44956</v>
      </c>
      <c r="B1014" s="4">
        <v>2023</v>
      </c>
      <c r="C1014" s="5">
        <v>2300</v>
      </c>
      <c r="D1014" s="5">
        <v>2310</v>
      </c>
      <c r="E1014" s="5">
        <v>2250</v>
      </c>
      <c r="F1014" s="5">
        <v>2290</v>
      </c>
      <c r="G1014" s="5">
        <v>1932.98</v>
      </c>
      <c r="H1014" s="6">
        <v>58533200</v>
      </c>
      <c r="I1014" s="22" t="str">
        <f t="shared" si="101"/>
        <v>-</v>
      </c>
      <c r="J1014" s="7">
        <f t="shared" si="102"/>
        <v>-0.43478260869565216</v>
      </c>
      <c r="K1014" s="7">
        <f t="shared" si="103"/>
        <v>60.498607059029986</v>
      </c>
      <c r="L1014" s="2" t="str">
        <f t="shared" si="98"/>
        <v>Normal</v>
      </c>
      <c r="M1014" s="2" t="str">
        <f t="shared" si="99"/>
        <v>Normal</v>
      </c>
      <c r="N1014" s="2" t="str">
        <f t="shared" si="100"/>
        <v>No</v>
      </c>
    </row>
    <row r="1015" spans="1:14" x14ac:dyDescent="0.25">
      <c r="A1015" s="3">
        <v>44957</v>
      </c>
      <c r="B1015" s="4">
        <v>2023</v>
      </c>
      <c r="C1015" s="5">
        <v>2300</v>
      </c>
      <c r="D1015" s="5">
        <v>2340</v>
      </c>
      <c r="E1015" s="5">
        <v>2290</v>
      </c>
      <c r="F1015" s="5">
        <v>2310</v>
      </c>
      <c r="G1015" s="5">
        <v>1949.86</v>
      </c>
      <c r="H1015" s="6">
        <v>56896100</v>
      </c>
      <c r="I1015" s="22" t="str">
        <f t="shared" si="101"/>
        <v>+</v>
      </c>
      <c r="J1015" s="7">
        <f t="shared" si="102"/>
        <v>0.87336244541484709</v>
      </c>
      <c r="K1015" s="7">
        <f t="shared" si="103"/>
        <v>-2.7968742525609396</v>
      </c>
      <c r="L1015" s="2" t="str">
        <f t="shared" si="98"/>
        <v>Normal</v>
      </c>
      <c r="M1015" s="2" t="str">
        <f t="shared" si="99"/>
        <v>Normal</v>
      </c>
      <c r="N1015" s="2" t="str">
        <f t="shared" si="100"/>
        <v>No</v>
      </c>
    </row>
    <row r="1016" spans="1:14" x14ac:dyDescent="0.25">
      <c r="A1016" s="3">
        <v>44958</v>
      </c>
      <c r="B1016" s="4">
        <v>2023</v>
      </c>
      <c r="C1016" s="5">
        <v>2340</v>
      </c>
      <c r="D1016" s="5">
        <v>2390</v>
      </c>
      <c r="E1016" s="5">
        <v>2320</v>
      </c>
      <c r="F1016" s="5">
        <v>2370</v>
      </c>
      <c r="G1016" s="5">
        <v>2000.51</v>
      </c>
      <c r="H1016" s="6">
        <v>134564600</v>
      </c>
      <c r="I1016" s="22" t="str">
        <f t="shared" si="101"/>
        <v>+</v>
      </c>
      <c r="J1016" s="7">
        <f t="shared" si="102"/>
        <v>2.5974025974025974</v>
      </c>
      <c r="K1016" s="7">
        <f t="shared" si="103"/>
        <v>136.50935652883064</v>
      </c>
      <c r="L1016" s="2" t="str">
        <f t="shared" si="98"/>
        <v>Normal</v>
      </c>
      <c r="M1016" s="2" t="str">
        <f t="shared" si="99"/>
        <v>Normal</v>
      </c>
      <c r="N1016" s="2" t="str">
        <f t="shared" si="100"/>
        <v>No</v>
      </c>
    </row>
    <row r="1017" spans="1:14" x14ac:dyDescent="0.25">
      <c r="A1017" s="3">
        <v>44959</v>
      </c>
      <c r="B1017" s="4">
        <v>2023</v>
      </c>
      <c r="C1017" s="5">
        <v>2350</v>
      </c>
      <c r="D1017" s="5">
        <v>2380</v>
      </c>
      <c r="E1017" s="5">
        <v>2320</v>
      </c>
      <c r="F1017" s="5">
        <v>2350</v>
      </c>
      <c r="G1017" s="5">
        <v>1983.62</v>
      </c>
      <c r="H1017" s="6">
        <v>55219600</v>
      </c>
      <c r="I1017" s="22" t="str">
        <f t="shared" si="101"/>
        <v>-</v>
      </c>
      <c r="J1017" s="7">
        <f t="shared" si="102"/>
        <v>-0.8438818565400843</v>
      </c>
      <c r="K1017" s="7">
        <f t="shared" si="103"/>
        <v>-58.964244682479638</v>
      </c>
      <c r="L1017" s="2" t="str">
        <f t="shared" si="98"/>
        <v>Normal</v>
      </c>
      <c r="M1017" s="2" t="str">
        <f t="shared" si="99"/>
        <v>Sharp Volume Decrease</v>
      </c>
      <c r="N1017" s="2" t="str">
        <f t="shared" si="100"/>
        <v>No</v>
      </c>
    </row>
    <row r="1018" spans="1:14" x14ac:dyDescent="0.25">
      <c r="A1018" s="3">
        <v>44960</v>
      </c>
      <c r="B1018" s="4">
        <v>2023</v>
      </c>
      <c r="C1018" s="5">
        <v>2380</v>
      </c>
      <c r="D1018" s="5">
        <v>2380</v>
      </c>
      <c r="E1018" s="5">
        <v>2280</v>
      </c>
      <c r="F1018" s="5">
        <v>2330</v>
      </c>
      <c r="G1018" s="5">
        <v>1966.74</v>
      </c>
      <c r="H1018" s="6">
        <v>69916100</v>
      </c>
      <c r="I1018" s="22" t="str">
        <f t="shared" si="101"/>
        <v>-</v>
      </c>
      <c r="J1018" s="7">
        <f t="shared" si="102"/>
        <v>-0.85106382978723405</v>
      </c>
      <c r="K1018" s="7">
        <f t="shared" si="103"/>
        <v>26.614644075654297</v>
      </c>
      <c r="L1018" s="2" t="str">
        <f t="shared" si="98"/>
        <v>Normal</v>
      </c>
      <c r="M1018" s="2" t="str">
        <f t="shared" si="99"/>
        <v>Normal</v>
      </c>
      <c r="N1018" s="2" t="str">
        <f t="shared" si="100"/>
        <v>No</v>
      </c>
    </row>
    <row r="1019" spans="1:14" x14ac:dyDescent="0.25">
      <c r="A1019" s="3">
        <v>44963</v>
      </c>
      <c r="B1019" s="4">
        <v>2023</v>
      </c>
      <c r="C1019" s="5">
        <v>2280</v>
      </c>
      <c r="D1019" s="5">
        <v>2320</v>
      </c>
      <c r="E1019" s="5">
        <v>2260</v>
      </c>
      <c r="F1019" s="5">
        <v>2270</v>
      </c>
      <c r="G1019" s="5">
        <v>1916.1</v>
      </c>
      <c r="H1019" s="6">
        <v>60509800</v>
      </c>
      <c r="I1019" s="22" t="str">
        <f t="shared" si="101"/>
        <v>-</v>
      </c>
      <c r="J1019" s="7">
        <f t="shared" si="102"/>
        <v>-2.5751072961373391</v>
      </c>
      <c r="K1019" s="7">
        <f t="shared" si="103"/>
        <v>-13.453696644978768</v>
      </c>
      <c r="L1019" s="2" t="str">
        <f t="shared" si="98"/>
        <v>Normal</v>
      </c>
      <c r="M1019" s="2" t="str">
        <f t="shared" si="99"/>
        <v>Normal</v>
      </c>
      <c r="N1019" s="2" t="str">
        <f t="shared" si="100"/>
        <v>No</v>
      </c>
    </row>
    <row r="1020" spans="1:14" x14ac:dyDescent="0.25">
      <c r="A1020" s="3">
        <v>44964</v>
      </c>
      <c r="B1020" s="4">
        <v>2023</v>
      </c>
      <c r="C1020" s="5">
        <v>2250</v>
      </c>
      <c r="D1020" s="5">
        <v>2260</v>
      </c>
      <c r="E1020" s="5">
        <v>2190</v>
      </c>
      <c r="F1020" s="5">
        <v>2250</v>
      </c>
      <c r="G1020" s="5">
        <v>1899.21</v>
      </c>
      <c r="H1020" s="6">
        <v>130229800</v>
      </c>
      <c r="I1020" s="22" t="str">
        <f t="shared" si="101"/>
        <v>-</v>
      </c>
      <c r="J1020" s="7">
        <f t="shared" si="102"/>
        <v>-0.88105726872246704</v>
      </c>
      <c r="K1020" s="7">
        <f t="shared" si="103"/>
        <v>115.22100552307231</v>
      </c>
      <c r="L1020" s="2" t="str">
        <f t="shared" si="98"/>
        <v>Normal</v>
      </c>
      <c r="M1020" s="2" t="str">
        <f t="shared" si="99"/>
        <v>Normal</v>
      </c>
      <c r="N1020" s="2" t="str">
        <f t="shared" si="100"/>
        <v>No</v>
      </c>
    </row>
    <row r="1021" spans="1:14" x14ac:dyDescent="0.25">
      <c r="A1021" s="3">
        <v>44965</v>
      </c>
      <c r="B1021" s="4">
        <v>2023</v>
      </c>
      <c r="C1021" s="5">
        <v>2260</v>
      </c>
      <c r="D1021" s="5">
        <v>2280</v>
      </c>
      <c r="E1021" s="5">
        <v>2220</v>
      </c>
      <c r="F1021" s="5">
        <v>2240</v>
      </c>
      <c r="G1021" s="5">
        <v>1890.77</v>
      </c>
      <c r="H1021" s="6">
        <v>52970000</v>
      </c>
      <c r="I1021" s="22" t="str">
        <f t="shared" si="101"/>
        <v>-</v>
      </c>
      <c r="J1021" s="7">
        <f t="shared" si="102"/>
        <v>-0.44444444444444442</v>
      </c>
      <c r="K1021" s="7">
        <f t="shared" si="103"/>
        <v>-59.325745720257572</v>
      </c>
      <c r="L1021" s="2" t="str">
        <f t="shared" si="98"/>
        <v>Normal</v>
      </c>
      <c r="M1021" s="2" t="str">
        <f t="shared" si="99"/>
        <v>Sharp Volume Decrease</v>
      </c>
      <c r="N1021" s="2" t="str">
        <f t="shared" si="100"/>
        <v>No</v>
      </c>
    </row>
    <row r="1022" spans="1:14" x14ac:dyDescent="0.25">
      <c r="A1022" s="3">
        <v>44966</v>
      </c>
      <c r="B1022" s="4">
        <v>2023</v>
      </c>
      <c r="C1022" s="5">
        <v>2240</v>
      </c>
      <c r="D1022" s="5">
        <v>2260</v>
      </c>
      <c r="E1022" s="5">
        <v>2220</v>
      </c>
      <c r="F1022" s="5">
        <v>2220</v>
      </c>
      <c r="G1022" s="5">
        <v>1873.89</v>
      </c>
      <c r="H1022" s="6">
        <v>50507500</v>
      </c>
      <c r="I1022" s="22" t="str">
        <f t="shared" si="101"/>
        <v>-</v>
      </c>
      <c r="J1022" s="7">
        <f t="shared" si="102"/>
        <v>-0.89285714285714279</v>
      </c>
      <c r="K1022" s="7">
        <f t="shared" si="103"/>
        <v>-4.6488578440626771</v>
      </c>
      <c r="L1022" s="2" t="str">
        <f t="shared" si="98"/>
        <v>Normal</v>
      </c>
      <c r="M1022" s="2" t="str">
        <f t="shared" si="99"/>
        <v>Normal</v>
      </c>
      <c r="N1022" s="2" t="str">
        <f t="shared" si="100"/>
        <v>No</v>
      </c>
    </row>
    <row r="1023" spans="1:14" x14ac:dyDescent="0.25">
      <c r="A1023" s="3">
        <v>44967</v>
      </c>
      <c r="B1023" s="4">
        <v>2023</v>
      </c>
      <c r="C1023" s="5">
        <v>2250</v>
      </c>
      <c r="D1023" s="5">
        <v>2250</v>
      </c>
      <c r="E1023" s="5">
        <v>2180</v>
      </c>
      <c r="F1023" s="5">
        <v>2220</v>
      </c>
      <c r="G1023" s="5">
        <v>1873.89</v>
      </c>
      <c r="H1023" s="6">
        <v>77590000</v>
      </c>
      <c r="I1023" s="22" t="str">
        <f t="shared" si="101"/>
        <v>0</v>
      </c>
      <c r="J1023" s="7">
        <f t="shared" si="102"/>
        <v>0</v>
      </c>
      <c r="K1023" s="7">
        <f t="shared" si="103"/>
        <v>53.620749393654407</v>
      </c>
      <c r="L1023" s="2" t="str">
        <f t="shared" si="98"/>
        <v>Normal</v>
      </c>
      <c r="M1023" s="2" t="str">
        <f t="shared" si="99"/>
        <v>Normal</v>
      </c>
      <c r="N1023" s="2" t="str">
        <f t="shared" si="100"/>
        <v>No</v>
      </c>
    </row>
    <row r="1024" spans="1:14" x14ac:dyDescent="0.25">
      <c r="A1024" s="3">
        <v>44970</v>
      </c>
      <c r="B1024" s="4">
        <v>2023</v>
      </c>
      <c r="C1024" s="5">
        <v>2210</v>
      </c>
      <c r="D1024" s="5">
        <v>2240</v>
      </c>
      <c r="E1024" s="5">
        <v>2200</v>
      </c>
      <c r="F1024" s="5">
        <v>2240</v>
      </c>
      <c r="G1024" s="5">
        <v>1890.77</v>
      </c>
      <c r="H1024" s="6">
        <v>27137900</v>
      </c>
      <c r="I1024" s="22" t="str">
        <f t="shared" si="101"/>
        <v>+</v>
      </c>
      <c r="J1024" s="7">
        <f t="shared" si="102"/>
        <v>0.90090090090090091</v>
      </c>
      <c r="K1024" s="7">
        <f t="shared" si="103"/>
        <v>-65.023972161361002</v>
      </c>
      <c r="L1024" s="2" t="str">
        <f t="shared" si="98"/>
        <v>Normal</v>
      </c>
      <c r="M1024" s="2" t="str">
        <f t="shared" si="99"/>
        <v>Sharp Volume Decrease</v>
      </c>
      <c r="N1024" s="2" t="str">
        <f t="shared" si="100"/>
        <v>No</v>
      </c>
    </row>
    <row r="1025" spans="1:14" x14ac:dyDescent="0.25">
      <c r="A1025" s="3">
        <v>44971</v>
      </c>
      <c r="B1025" s="4">
        <v>2023</v>
      </c>
      <c r="C1025" s="5">
        <v>2240</v>
      </c>
      <c r="D1025" s="5">
        <v>2250</v>
      </c>
      <c r="E1025" s="5">
        <v>2200</v>
      </c>
      <c r="F1025" s="5">
        <v>2210</v>
      </c>
      <c r="G1025" s="5">
        <v>1865.45</v>
      </c>
      <c r="H1025" s="6">
        <v>47466500</v>
      </c>
      <c r="I1025" s="22" t="str">
        <f t="shared" si="101"/>
        <v>-</v>
      </c>
      <c r="J1025" s="7">
        <f t="shared" si="102"/>
        <v>-1.3392857142857142</v>
      </c>
      <c r="K1025" s="7">
        <f t="shared" si="103"/>
        <v>74.908522767052716</v>
      </c>
      <c r="L1025" s="2" t="str">
        <f t="shared" si="98"/>
        <v>Normal</v>
      </c>
      <c r="M1025" s="2" t="str">
        <f t="shared" si="99"/>
        <v>Normal</v>
      </c>
      <c r="N1025" s="2" t="str">
        <f t="shared" si="100"/>
        <v>No</v>
      </c>
    </row>
    <row r="1026" spans="1:14" x14ac:dyDescent="0.25">
      <c r="A1026" s="3">
        <v>44972</v>
      </c>
      <c r="B1026" s="4">
        <v>2023</v>
      </c>
      <c r="C1026" s="5">
        <v>2200</v>
      </c>
      <c r="D1026" s="5">
        <v>2230</v>
      </c>
      <c r="E1026" s="5">
        <v>2160</v>
      </c>
      <c r="F1026" s="5">
        <v>2200</v>
      </c>
      <c r="G1026" s="5">
        <v>1857.01</v>
      </c>
      <c r="H1026" s="6">
        <v>66560400</v>
      </c>
      <c r="I1026" s="22" t="str">
        <f t="shared" si="101"/>
        <v>-</v>
      </c>
      <c r="J1026" s="7">
        <f t="shared" si="102"/>
        <v>-0.45248868778280549</v>
      </c>
      <c r="K1026" s="7">
        <f t="shared" si="103"/>
        <v>40.226054164516029</v>
      </c>
      <c r="L1026" s="2" t="str">
        <f t="shared" si="98"/>
        <v>Normal</v>
      </c>
      <c r="M1026" s="2" t="str">
        <f t="shared" si="99"/>
        <v>Normal</v>
      </c>
      <c r="N1026" s="2" t="str">
        <f t="shared" si="100"/>
        <v>No</v>
      </c>
    </row>
    <row r="1027" spans="1:14" x14ac:dyDescent="0.25">
      <c r="A1027" s="3">
        <v>44973</v>
      </c>
      <c r="B1027" s="4">
        <v>2023</v>
      </c>
      <c r="C1027" s="5">
        <v>2200</v>
      </c>
      <c r="D1027" s="5">
        <v>2210</v>
      </c>
      <c r="E1027" s="5">
        <v>2100</v>
      </c>
      <c r="F1027" s="5">
        <v>2110</v>
      </c>
      <c r="G1027" s="5">
        <v>1781.04</v>
      </c>
      <c r="H1027" s="6">
        <v>130493400</v>
      </c>
      <c r="I1027" s="22" t="str">
        <f t="shared" si="101"/>
        <v>-</v>
      </c>
      <c r="J1027" s="7">
        <f t="shared" si="102"/>
        <v>-4.0909090909090908</v>
      </c>
      <c r="K1027" s="7">
        <f t="shared" si="103"/>
        <v>96.052607856923927</v>
      </c>
      <c r="L1027" s="2" t="str">
        <f t="shared" ref="L1027:L1090" si="104">IFERROR(IF(OR(J1027="",ISBLANK(J1027)),"Normal",IF(J1027&lt;=$U$6,"Sharp Price Decrease",IF(J1027&gt;=$U$7,"Sharp Price Increase","Normal"))),"Normal")</f>
        <v>Normal</v>
      </c>
      <c r="M1027" s="2" t="str">
        <f t="shared" ref="M1027:M1090" si="105">IFERROR(IF(OR(K1027="",ISBLANK(K1027)),"Normal",IF(K1027&lt;=$U$8,"Sharp Volume Decrease",IF(K1027&gt;=$U$9,"Sharp Volume Increase","Normal"))),"Normal")</f>
        <v>Normal</v>
      </c>
      <c r="N1027" s="2" t="str">
        <f t="shared" ref="N1027:N1090" si="106">IFERROR(IF(AND(OR(L1027="Sharp Price Increase",L1027="Sharp Price Decrease"),OR(M1027="Sharp Volume Increase",M1027="Sharp Volume Decrease")),"Yes","No"),"No")</f>
        <v>No</v>
      </c>
    </row>
    <row r="1028" spans="1:14" x14ac:dyDescent="0.25">
      <c r="A1028" s="3">
        <v>44974</v>
      </c>
      <c r="B1028" s="4">
        <v>2023</v>
      </c>
      <c r="C1028" s="5">
        <v>2100</v>
      </c>
      <c r="D1028" s="5">
        <v>2140</v>
      </c>
      <c r="E1028" s="5">
        <v>2060</v>
      </c>
      <c r="F1028" s="5">
        <v>2090</v>
      </c>
      <c r="G1028" s="5">
        <v>1764.16</v>
      </c>
      <c r="H1028" s="6">
        <v>90798900</v>
      </c>
      <c r="I1028" s="22" t="str">
        <f t="shared" ref="I1028:I1091" si="107">IFERROR(IF(OR(F1027="",F1028=""),"",IF(F1028-F1027&lt;0,"-",IF(F1028-F1027&gt;0,"+","0"))),"")</f>
        <v>-</v>
      </c>
      <c r="J1028" s="7">
        <f t="shared" ref="J1028:J1091" si="108">(F1028-F1027)/F1027*100</f>
        <v>-0.94786729857819907</v>
      </c>
      <c r="K1028" s="7">
        <f t="shared" ref="K1028:K1091" si="109">(H1028-H1027)/H1027*100</f>
        <v>-30.418779800357719</v>
      </c>
      <c r="L1028" s="2" t="str">
        <f t="shared" si="104"/>
        <v>Normal</v>
      </c>
      <c r="M1028" s="2" t="str">
        <f t="shared" si="105"/>
        <v>Normal</v>
      </c>
      <c r="N1028" s="2" t="str">
        <f t="shared" si="106"/>
        <v>No</v>
      </c>
    </row>
    <row r="1029" spans="1:14" x14ac:dyDescent="0.25">
      <c r="A1029" s="3">
        <v>44977</v>
      </c>
      <c r="B1029" s="4">
        <v>2023</v>
      </c>
      <c r="C1029" s="5">
        <v>2080</v>
      </c>
      <c r="D1029" s="5">
        <v>2090</v>
      </c>
      <c r="E1029" s="5">
        <v>2020</v>
      </c>
      <c r="F1029" s="5">
        <v>2080</v>
      </c>
      <c r="G1029" s="5">
        <v>1755.72</v>
      </c>
      <c r="H1029" s="6">
        <v>99587300</v>
      </c>
      <c r="I1029" s="22" t="str">
        <f t="shared" si="107"/>
        <v>-</v>
      </c>
      <c r="J1029" s="7">
        <f t="shared" si="108"/>
        <v>-0.4784688995215311</v>
      </c>
      <c r="K1029" s="7">
        <f t="shared" si="109"/>
        <v>9.6789718818179526</v>
      </c>
      <c r="L1029" s="2" t="str">
        <f t="shared" si="104"/>
        <v>Normal</v>
      </c>
      <c r="M1029" s="2" t="str">
        <f t="shared" si="105"/>
        <v>Normal</v>
      </c>
      <c r="N1029" s="2" t="str">
        <f t="shared" si="106"/>
        <v>No</v>
      </c>
    </row>
    <row r="1030" spans="1:14" x14ac:dyDescent="0.25">
      <c r="A1030" s="3">
        <v>44978</v>
      </c>
      <c r="B1030" s="4">
        <v>2023</v>
      </c>
      <c r="C1030" s="5">
        <v>2110</v>
      </c>
      <c r="D1030" s="5">
        <v>2130</v>
      </c>
      <c r="E1030" s="5">
        <v>2070</v>
      </c>
      <c r="F1030" s="5">
        <v>2080</v>
      </c>
      <c r="G1030" s="5">
        <v>1755.72</v>
      </c>
      <c r="H1030" s="6">
        <v>70008500</v>
      </c>
      <c r="I1030" s="22" t="str">
        <f t="shared" si="107"/>
        <v>0</v>
      </c>
      <c r="J1030" s="7">
        <f t="shared" si="108"/>
        <v>0</v>
      </c>
      <c r="K1030" s="7">
        <f t="shared" si="109"/>
        <v>-29.701377585294509</v>
      </c>
      <c r="L1030" s="2" t="str">
        <f t="shared" si="104"/>
        <v>Normal</v>
      </c>
      <c r="M1030" s="2" t="str">
        <f t="shared" si="105"/>
        <v>Normal</v>
      </c>
      <c r="N1030" s="2" t="str">
        <f t="shared" si="106"/>
        <v>No</v>
      </c>
    </row>
    <row r="1031" spans="1:14" x14ac:dyDescent="0.25">
      <c r="A1031" s="3">
        <v>44979</v>
      </c>
      <c r="B1031" s="4">
        <v>2023</v>
      </c>
      <c r="C1031" s="5">
        <v>2080</v>
      </c>
      <c r="D1031" s="5">
        <v>2090</v>
      </c>
      <c r="E1031" s="5">
        <v>2030</v>
      </c>
      <c r="F1031" s="5">
        <v>2050</v>
      </c>
      <c r="G1031" s="5">
        <v>1730.4</v>
      </c>
      <c r="H1031" s="6">
        <v>74407800</v>
      </c>
      <c r="I1031" s="22" t="str">
        <f t="shared" si="107"/>
        <v>-</v>
      </c>
      <c r="J1031" s="7">
        <f t="shared" si="108"/>
        <v>-1.4423076923076923</v>
      </c>
      <c r="K1031" s="7">
        <f t="shared" si="109"/>
        <v>6.283951234492954</v>
      </c>
      <c r="L1031" s="2" t="str">
        <f t="shared" si="104"/>
        <v>Normal</v>
      </c>
      <c r="M1031" s="2" t="str">
        <f t="shared" si="105"/>
        <v>Normal</v>
      </c>
      <c r="N1031" s="2" t="str">
        <f t="shared" si="106"/>
        <v>No</v>
      </c>
    </row>
    <row r="1032" spans="1:14" x14ac:dyDescent="0.25">
      <c r="A1032" s="3">
        <v>44980</v>
      </c>
      <c r="B1032" s="4">
        <v>2023</v>
      </c>
      <c r="C1032" s="5">
        <v>2050</v>
      </c>
      <c r="D1032" s="5">
        <v>2060</v>
      </c>
      <c r="E1032" s="5">
        <v>2000</v>
      </c>
      <c r="F1032" s="5">
        <v>2030</v>
      </c>
      <c r="G1032" s="5">
        <v>1713.51</v>
      </c>
      <c r="H1032" s="6">
        <v>74657800</v>
      </c>
      <c r="I1032" s="22" t="str">
        <f t="shared" si="107"/>
        <v>-</v>
      </c>
      <c r="J1032" s="7">
        <f t="shared" si="108"/>
        <v>-0.97560975609756095</v>
      </c>
      <c r="K1032" s="7">
        <f t="shared" si="109"/>
        <v>0.33598628100817385</v>
      </c>
      <c r="L1032" s="2" t="str">
        <f t="shared" si="104"/>
        <v>Normal</v>
      </c>
      <c r="M1032" s="2" t="str">
        <f t="shared" si="105"/>
        <v>Normal</v>
      </c>
      <c r="N1032" s="2" t="str">
        <f t="shared" si="106"/>
        <v>No</v>
      </c>
    </row>
    <row r="1033" spans="1:14" x14ac:dyDescent="0.25">
      <c r="A1033" s="3">
        <v>44981</v>
      </c>
      <c r="B1033" s="4">
        <v>2023</v>
      </c>
      <c r="C1033" s="5">
        <v>2020</v>
      </c>
      <c r="D1033" s="5">
        <v>2040</v>
      </c>
      <c r="E1033" s="5">
        <v>2000</v>
      </c>
      <c r="F1033" s="5">
        <v>2000</v>
      </c>
      <c r="G1033" s="5">
        <v>1688.19</v>
      </c>
      <c r="H1033" s="6">
        <v>48747500</v>
      </c>
      <c r="I1033" s="22" t="str">
        <f t="shared" si="107"/>
        <v>-</v>
      </c>
      <c r="J1033" s="7">
        <f t="shared" si="108"/>
        <v>-1.4778325123152709</v>
      </c>
      <c r="K1033" s="7">
        <f t="shared" si="109"/>
        <v>-34.705415910996571</v>
      </c>
      <c r="L1033" s="2" t="str">
        <f t="shared" si="104"/>
        <v>Normal</v>
      </c>
      <c r="M1033" s="2" t="str">
        <f t="shared" si="105"/>
        <v>Normal</v>
      </c>
      <c r="N1033" s="2" t="str">
        <f t="shared" si="106"/>
        <v>No</v>
      </c>
    </row>
    <row r="1034" spans="1:14" x14ac:dyDescent="0.25">
      <c r="A1034" s="3">
        <v>44984</v>
      </c>
      <c r="B1034" s="4">
        <v>2023</v>
      </c>
      <c r="C1034" s="5">
        <v>2000</v>
      </c>
      <c r="D1034" s="5">
        <v>2040</v>
      </c>
      <c r="E1034" s="5">
        <v>1985</v>
      </c>
      <c r="F1034" s="5">
        <v>2010</v>
      </c>
      <c r="G1034" s="5">
        <v>1696.63</v>
      </c>
      <c r="H1034" s="6">
        <v>60281100</v>
      </c>
      <c r="I1034" s="22" t="str">
        <f t="shared" si="107"/>
        <v>+</v>
      </c>
      <c r="J1034" s="7">
        <f t="shared" si="108"/>
        <v>0.5</v>
      </c>
      <c r="K1034" s="7">
        <f t="shared" si="109"/>
        <v>23.659879993845838</v>
      </c>
      <c r="L1034" s="2" t="str">
        <f t="shared" si="104"/>
        <v>Normal</v>
      </c>
      <c r="M1034" s="2" t="str">
        <f t="shared" si="105"/>
        <v>Normal</v>
      </c>
      <c r="N1034" s="2" t="str">
        <f t="shared" si="106"/>
        <v>No</v>
      </c>
    </row>
    <row r="1035" spans="1:14" x14ac:dyDescent="0.25">
      <c r="A1035" s="3">
        <v>44985</v>
      </c>
      <c r="B1035" s="4">
        <v>2023</v>
      </c>
      <c r="C1035" s="5">
        <v>2030</v>
      </c>
      <c r="D1035" s="5">
        <v>2040</v>
      </c>
      <c r="E1035" s="5">
        <v>1990</v>
      </c>
      <c r="F1035" s="5">
        <v>1990</v>
      </c>
      <c r="G1035" s="5">
        <v>1679.75</v>
      </c>
      <c r="H1035" s="6">
        <v>99649100</v>
      </c>
      <c r="I1035" s="22" t="str">
        <f t="shared" si="107"/>
        <v>-</v>
      </c>
      <c r="J1035" s="7">
        <f t="shared" si="108"/>
        <v>-0.99502487562189057</v>
      </c>
      <c r="K1035" s="7">
        <f t="shared" si="109"/>
        <v>65.307368312787915</v>
      </c>
      <c r="L1035" s="2" t="str">
        <f t="shared" si="104"/>
        <v>Normal</v>
      </c>
      <c r="M1035" s="2" t="str">
        <f t="shared" si="105"/>
        <v>Normal</v>
      </c>
      <c r="N1035" s="2" t="str">
        <f t="shared" si="106"/>
        <v>No</v>
      </c>
    </row>
    <row r="1036" spans="1:14" x14ac:dyDescent="0.25">
      <c r="A1036" s="3">
        <v>44986</v>
      </c>
      <c r="B1036" s="4">
        <v>2023</v>
      </c>
      <c r="C1036" s="5">
        <v>1990</v>
      </c>
      <c r="D1036" s="5">
        <v>2020</v>
      </c>
      <c r="E1036" s="5">
        <v>1975</v>
      </c>
      <c r="F1036" s="5">
        <v>2000</v>
      </c>
      <c r="G1036" s="5">
        <v>1688.19</v>
      </c>
      <c r="H1036" s="6">
        <v>49985200</v>
      </c>
      <c r="I1036" s="22" t="str">
        <f t="shared" si="107"/>
        <v>+</v>
      </c>
      <c r="J1036" s="7">
        <f t="shared" si="108"/>
        <v>0.50251256281407031</v>
      </c>
      <c r="K1036" s="7">
        <f t="shared" si="109"/>
        <v>-49.838784294087958</v>
      </c>
      <c r="L1036" s="2" t="str">
        <f t="shared" si="104"/>
        <v>Normal</v>
      </c>
      <c r="M1036" s="2" t="str">
        <f t="shared" si="105"/>
        <v>Normal</v>
      </c>
      <c r="N1036" s="2" t="str">
        <f t="shared" si="106"/>
        <v>No</v>
      </c>
    </row>
    <row r="1037" spans="1:14" x14ac:dyDescent="0.25">
      <c r="A1037" s="3">
        <v>44987</v>
      </c>
      <c r="B1037" s="4">
        <v>2023</v>
      </c>
      <c r="C1037" s="5">
        <v>2010</v>
      </c>
      <c r="D1037" s="5">
        <v>2040</v>
      </c>
      <c r="E1037" s="5">
        <v>2000</v>
      </c>
      <c r="F1037" s="5">
        <v>2010</v>
      </c>
      <c r="G1037" s="5">
        <v>1696.63</v>
      </c>
      <c r="H1037" s="6">
        <v>57745800</v>
      </c>
      <c r="I1037" s="22" t="str">
        <f t="shared" si="107"/>
        <v>+</v>
      </c>
      <c r="J1037" s="7">
        <f t="shared" si="108"/>
        <v>0.5</v>
      </c>
      <c r="K1037" s="7">
        <f t="shared" si="109"/>
        <v>15.525795635508111</v>
      </c>
      <c r="L1037" s="2" t="str">
        <f t="shared" si="104"/>
        <v>Normal</v>
      </c>
      <c r="M1037" s="2" t="str">
        <f t="shared" si="105"/>
        <v>Normal</v>
      </c>
      <c r="N1037" s="2" t="str">
        <f t="shared" si="106"/>
        <v>No</v>
      </c>
    </row>
    <row r="1038" spans="1:14" x14ac:dyDescent="0.25">
      <c r="A1038" s="3">
        <v>44988</v>
      </c>
      <c r="B1038" s="4">
        <v>2023</v>
      </c>
      <c r="C1038" s="5">
        <v>2010</v>
      </c>
      <c r="D1038" s="5">
        <v>2040</v>
      </c>
      <c r="E1038" s="5">
        <v>1985</v>
      </c>
      <c r="F1038" s="5">
        <v>1995</v>
      </c>
      <c r="G1038" s="5">
        <v>1683.97</v>
      </c>
      <c r="H1038" s="6">
        <v>63901300</v>
      </c>
      <c r="I1038" s="22" t="str">
        <f t="shared" si="107"/>
        <v>-</v>
      </c>
      <c r="J1038" s="7">
        <f t="shared" si="108"/>
        <v>-0.74626865671641784</v>
      </c>
      <c r="K1038" s="7">
        <f t="shared" si="109"/>
        <v>10.659649706125814</v>
      </c>
      <c r="L1038" s="2" t="str">
        <f t="shared" si="104"/>
        <v>Normal</v>
      </c>
      <c r="M1038" s="2" t="str">
        <f t="shared" si="105"/>
        <v>Normal</v>
      </c>
      <c r="N1038" s="2" t="str">
        <f t="shared" si="106"/>
        <v>No</v>
      </c>
    </row>
    <row r="1039" spans="1:14" x14ac:dyDescent="0.25">
      <c r="A1039" s="3">
        <v>44991</v>
      </c>
      <c r="B1039" s="4">
        <v>2023</v>
      </c>
      <c r="C1039" s="5">
        <v>2000</v>
      </c>
      <c r="D1039" s="5">
        <v>2020</v>
      </c>
      <c r="E1039" s="5">
        <v>1955</v>
      </c>
      <c r="F1039" s="5">
        <v>1960</v>
      </c>
      <c r="G1039" s="5">
        <v>1654.43</v>
      </c>
      <c r="H1039" s="6">
        <v>74031000</v>
      </c>
      <c r="I1039" s="22" t="str">
        <f t="shared" si="107"/>
        <v>-</v>
      </c>
      <c r="J1039" s="7">
        <f t="shared" si="108"/>
        <v>-1.7543859649122806</v>
      </c>
      <c r="K1039" s="7">
        <f t="shared" si="109"/>
        <v>15.852103165350314</v>
      </c>
      <c r="L1039" s="2" t="str">
        <f t="shared" si="104"/>
        <v>Normal</v>
      </c>
      <c r="M1039" s="2" t="str">
        <f t="shared" si="105"/>
        <v>Normal</v>
      </c>
      <c r="N1039" s="2" t="str">
        <f t="shared" si="106"/>
        <v>No</v>
      </c>
    </row>
    <row r="1040" spans="1:14" x14ac:dyDescent="0.25">
      <c r="A1040" s="3">
        <v>44992</v>
      </c>
      <c r="B1040" s="4">
        <v>2023</v>
      </c>
      <c r="C1040" s="5">
        <v>1960</v>
      </c>
      <c r="D1040" s="5">
        <v>1970</v>
      </c>
      <c r="E1040" s="5">
        <v>1930</v>
      </c>
      <c r="F1040" s="5">
        <v>1940</v>
      </c>
      <c r="G1040" s="5">
        <v>1637.55</v>
      </c>
      <c r="H1040" s="6">
        <v>76557300</v>
      </c>
      <c r="I1040" s="22" t="str">
        <f t="shared" si="107"/>
        <v>-</v>
      </c>
      <c r="J1040" s="7">
        <f t="shared" si="108"/>
        <v>-1.0204081632653061</v>
      </c>
      <c r="K1040" s="7">
        <f t="shared" si="109"/>
        <v>3.4124893625643313</v>
      </c>
      <c r="L1040" s="2" t="str">
        <f t="shared" si="104"/>
        <v>Normal</v>
      </c>
      <c r="M1040" s="2" t="str">
        <f t="shared" si="105"/>
        <v>Normal</v>
      </c>
      <c r="N1040" s="2" t="str">
        <f t="shared" si="106"/>
        <v>No</v>
      </c>
    </row>
    <row r="1041" spans="1:14" x14ac:dyDescent="0.25">
      <c r="A1041" s="3">
        <v>44993</v>
      </c>
      <c r="B1041" s="4">
        <v>2023</v>
      </c>
      <c r="C1041" s="5">
        <v>1920</v>
      </c>
      <c r="D1041" s="5">
        <v>1930</v>
      </c>
      <c r="E1041" s="5">
        <v>1870</v>
      </c>
      <c r="F1041" s="5">
        <v>1885</v>
      </c>
      <c r="G1041" s="5">
        <v>1591.12</v>
      </c>
      <c r="H1041" s="6">
        <v>144493200</v>
      </c>
      <c r="I1041" s="22" t="str">
        <f t="shared" si="107"/>
        <v>-</v>
      </c>
      <c r="J1041" s="7">
        <f t="shared" si="108"/>
        <v>-2.8350515463917527</v>
      </c>
      <c r="K1041" s="7">
        <f t="shared" si="109"/>
        <v>88.738631064575159</v>
      </c>
      <c r="L1041" s="2" t="str">
        <f t="shared" si="104"/>
        <v>Normal</v>
      </c>
      <c r="M1041" s="2" t="str">
        <f t="shared" si="105"/>
        <v>Normal</v>
      </c>
      <c r="N1041" s="2" t="str">
        <f t="shared" si="106"/>
        <v>No</v>
      </c>
    </row>
    <row r="1042" spans="1:14" x14ac:dyDescent="0.25">
      <c r="A1042" s="3">
        <v>44994</v>
      </c>
      <c r="B1042" s="4">
        <v>2023</v>
      </c>
      <c r="C1042" s="5">
        <v>1885</v>
      </c>
      <c r="D1042" s="5">
        <v>1910</v>
      </c>
      <c r="E1042" s="5">
        <v>1870</v>
      </c>
      <c r="F1042" s="5">
        <v>1875</v>
      </c>
      <c r="G1042" s="5">
        <v>1582.68</v>
      </c>
      <c r="H1042" s="6">
        <v>75244200</v>
      </c>
      <c r="I1042" s="22" t="str">
        <f t="shared" si="107"/>
        <v>-</v>
      </c>
      <c r="J1042" s="7">
        <f t="shared" si="108"/>
        <v>-0.53050397877984079</v>
      </c>
      <c r="K1042" s="7">
        <f t="shared" si="109"/>
        <v>-47.925438705766084</v>
      </c>
      <c r="L1042" s="2" t="str">
        <f t="shared" si="104"/>
        <v>Normal</v>
      </c>
      <c r="M1042" s="2" t="str">
        <f t="shared" si="105"/>
        <v>Normal</v>
      </c>
      <c r="N1042" s="2" t="str">
        <f t="shared" si="106"/>
        <v>No</v>
      </c>
    </row>
    <row r="1043" spans="1:14" x14ac:dyDescent="0.25">
      <c r="A1043" s="3">
        <v>44995</v>
      </c>
      <c r="B1043" s="4">
        <v>2023</v>
      </c>
      <c r="C1043" s="5">
        <v>1865</v>
      </c>
      <c r="D1043" s="5">
        <v>1895</v>
      </c>
      <c r="E1043" s="5">
        <v>1850</v>
      </c>
      <c r="F1043" s="5">
        <v>1880</v>
      </c>
      <c r="G1043" s="5">
        <v>1586.9</v>
      </c>
      <c r="H1043" s="6">
        <v>96320400</v>
      </c>
      <c r="I1043" s="22" t="str">
        <f t="shared" si="107"/>
        <v>+</v>
      </c>
      <c r="J1043" s="7">
        <f t="shared" si="108"/>
        <v>0.26666666666666666</v>
      </c>
      <c r="K1043" s="7">
        <f t="shared" si="109"/>
        <v>28.010398143644295</v>
      </c>
      <c r="L1043" s="2" t="str">
        <f t="shared" si="104"/>
        <v>Normal</v>
      </c>
      <c r="M1043" s="2" t="str">
        <f t="shared" si="105"/>
        <v>Normal</v>
      </c>
      <c r="N1043" s="2" t="str">
        <f t="shared" si="106"/>
        <v>No</v>
      </c>
    </row>
    <row r="1044" spans="1:14" x14ac:dyDescent="0.25">
      <c r="A1044" s="3">
        <v>44998</v>
      </c>
      <c r="B1044" s="4">
        <v>2023</v>
      </c>
      <c r="C1044" s="5">
        <v>1890</v>
      </c>
      <c r="D1044" s="5">
        <v>1890</v>
      </c>
      <c r="E1044" s="5">
        <v>1850</v>
      </c>
      <c r="F1044" s="5">
        <v>1850</v>
      </c>
      <c r="G1044" s="5">
        <v>1561.58</v>
      </c>
      <c r="H1044" s="6">
        <v>60375200</v>
      </c>
      <c r="I1044" s="22" t="str">
        <f t="shared" si="107"/>
        <v>-</v>
      </c>
      <c r="J1044" s="7">
        <f t="shared" si="108"/>
        <v>-1.5957446808510638</v>
      </c>
      <c r="K1044" s="7">
        <f t="shared" si="109"/>
        <v>-37.318366618078826</v>
      </c>
      <c r="L1044" s="2" t="str">
        <f t="shared" si="104"/>
        <v>Normal</v>
      </c>
      <c r="M1044" s="2" t="str">
        <f t="shared" si="105"/>
        <v>Normal</v>
      </c>
      <c r="N1044" s="2" t="str">
        <f t="shared" si="106"/>
        <v>No</v>
      </c>
    </row>
    <row r="1045" spans="1:14" x14ac:dyDescent="0.25">
      <c r="A1045" s="3">
        <v>44999</v>
      </c>
      <c r="B1045" s="4">
        <v>2023</v>
      </c>
      <c r="C1045" s="5">
        <v>1865</v>
      </c>
      <c r="D1045" s="5">
        <v>1885</v>
      </c>
      <c r="E1045" s="5">
        <v>1810</v>
      </c>
      <c r="F1045" s="5">
        <v>1815</v>
      </c>
      <c r="G1045" s="5">
        <v>1532.03</v>
      </c>
      <c r="H1045" s="6">
        <v>107452200</v>
      </c>
      <c r="I1045" s="22" t="str">
        <f t="shared" si="107"/>
        <v>-</v>
      </c>
      <c r="J1045" s="7">
        <f t="shared" si="108"/>
        <v>-1.8918918918918921</v>
      </c>
      <c r="K1045" s="7">
        <f t="shared" si="109"/>
        <v>77.974068822960419</v>
      </c>
      <c r="L1045" s="2" t="str">
        <f t="shared" si="104"/>
        <v>Normal</v>
      </c>
      <c r="M1045" s="2" t="str">
        <f t="shared" si="105"/>
        <v>Normal</v>
      </c>
      <c r="N1045" s="2" t="str">
        <f t="shared" si="106"/>
        <v>No</v>
      </c>
    </row>
    <row r="1046" spans="1:14" x14ac:dyDescent="0.25">
      <c r="A1046" s="3">
        <v>45000</v>
      </c>
      <c r="B1046" s="4">
        <v>2023</v>
      </c>
      <c r="C1046" s="5">
        <v>1825</v>
      </c>
      <c r="D1046" s="5">
        <v>1865</v>
      </c>
      <c r="E1046" s="5">
        <v>1825</v>
      </c>
      <c r="F1046" s="5">
        <v>1855</v>
      </c>
      <c r="G1046" s="5">
        <v>1565.8</v>
      </c>
      <c r="H1046" s="6">
        <v>67314600</v>
      </c>
      <c r="I1046" s="22" t="str">
        <f t="shared" si="107"/>
        <v>+</v>
      </c>
      <c r="J1046" s="7">
        <f t="shared" si="108"/>
        <v>2.2038567493112948</v>
      </c>
      <c r="K1046" s="7">
        <f t="shared" si="109"/>
        <v>-37.353911785891775</v>
      </c>
      <c r="L1046" s="2" t="str">
        <f t="shared" si="104"/>
        <v>Normal</v>
      </c>
      <c r="M1046" s="2" t="str">
        <f t="shared" si="105"/>
        <v>Normal</v>
      </c>
      <c r="N1046" s="2" t="str">
        <f t="shared" si="106"/>
        <v>No</v>
      </c>
    </row>
    <row r="1047" spans="1:14" x14ac:dyDescent="0.25">
      <c r="A1047" s="3">
        <v>45001</v>
      </c>
      <c r="B1047" s="4">
        <v>2023</v>
      </c>
      <c r="C1047" s="5">
        <v>1850</v>
      </c>
      <c r="D1047" s="5">
        <v>1855</v>
      </c>
      <c r="E1047" s="5">
        <v>1770</v>
      </c>
      <c r="F1047" s="5">
        <v>1795</v>
      </c>
      <c r="G1047" s="5">
        <v>1515.15</v>
      </c>
      <c r="H1047" s="6">
        <v>98076300</v>
      </c>
      <c r="I1047" s="22" t="str">
        <f t="shared" si="107"/>
        <v>-</v>
      </c>
      <c r="J1047" s="7">
        <f t="shared" si="108"/>
        <v>-3.2345013477088949</v>
      </c>
      <c r="K1047" s="7">
        <f t="shared" si="109"/>
        <v>45.698407180611632</v>
      </c>
      <c r="L1047" s="2" t="str">
        <f t="shared" si="104"/>
        <v>Normal</v>
      </c>
      <c r="M1047" s="2" t="str">
        <f t="shared" si="105"/>
        <v>Normal</v>
      </c>
      <c r="N1047" s="2" t="str">
        <f t="shared" si="106"/>
        <v>No</v>
      </c>
    </row>
    <row r="1048" spans="1:14" x14ac:dyDescent="0.25">
      <c r="A1048" s="3">
        <v>45002</v>
      </c>
      <c r="B1048" s="4">
        <v>2023</v>
      </c>
      <c r="C1048" s="5">
        <v>1815</v>
      </c>
      <c r="D1048" s="5">
        <v>1895</v>
      </c>
      <c r="E1048" s="5">
        <v>1810</v>
      </c>
      <c r="F1048" s="5">
        <v>1895</v>
      </c>
      <c r="G1048" s="5">
        <v>1599.56</v>
      </c>
      <c r="H1048" s="6">
        <v>109506100</v>
      </c>
      <c r="I1048" s="22" t="str">
        <f t="shared" si="107"/>
        <v>+</v>
      </c>
      <c r="J1048" s="7">
        <f t="shared" si="108"/>
        <v>5.5710306406685239</v>
      </c>
      <c r="K1048" s="7">
        <f t="shared" si="109"/>
        <v>11.653987762588923</v>
      </c>
      <c r="L1048" s="2" t="str">
        <f t="shared" si="104"/>
        <v>Sharp Price Increase</v>
      </c>
      <c r="M1048" s="2" t="str">
        <f t="shared" si="105"/>
        <v>Normal</v>
      </c>
      <c r="N1048" s="2" t="str">
        <f t="shared" si="106"/>
        <v>No</v>
      </c>
    </row>
    <row r="1049" spans="1:14" x14ac:dyDescent="0.25">
      <c r="A1049" s="3">
        <v>45005</v>
      </c>
      <c r="B1049" s="4">
        <v>2023</v>
      </c>
      <c r="C1049" s="5">
        <v>1905</v>
      </c>
      <c r="D1049" s="5">
        <v>1930</v>
      </c>
      <c r="E1049" s="5">
        <v>1875</v>
      </c>
      <c r="F1049" s="5">
        <v>1900</v>
      </c>
      <c r="G1049" s="5">
        <v>1603.78</v>
      </c>
      <c r="H1049" s="6">
        <v>60151400</v>
      </c>
      <c r="I1049" s="22" t="str">
        <f t="shared" si="107"/>
        <v>+</v>
      </c>
      <c r="J1049" s="7">
        <f t="shared" si="108"/>
        <v>0.26385224274406333</v>
      </c>
      <c r="K1049" s="7">
        <f t="shared" si="109"/>
        <v>-45.070274623970718</v>
      </c>
      <c r="L1049" s="2" t="str">
        <f t="shared" si="104"/>
        <v>Normal</v>
      </c>
      <c r="M1049" s="2" t="str">
        <f t="shared" si="105"/>
        <v>Normal</v>
      </c>
      <c r="N1049" s="2" t="str">
        <f t="shared" si="106"/>
        <v>No</v>
      </c>
    </row>
    <row r="1050" spans="1:14" x14ac:dyDescent="0.25">
      <c r="A1050" s="3">
        <v>45006</v>
      </c>
      <c r="B1050" s="4">
        <v>2023</v>
      </c>
      <c r="C1050" s="5">
        <v>1910</v>
      </c>
      <c r="D1050" s="5">
        <v>1915</v>
      </c>
      <c r="E1050" s="5">
        <v>1885</v>
      </c>
      <c r="F1050" s="5">
        <v>1885</v>
      </c>
      <c r="G1050" s="5">
        <v>1591.12</v>
      </c>
      <c r="H1050" s="6">
        <v>36252300</v>
      </c>
      <c r="I1050" s="22" t="str">
        <f t="shared" si="107"/>
        <v>-</v>
      </c>
      <c r="J1050" s="7">
        <f t="shared" si="108"/>
        <v>-0.78947368421052633</v>
      </c>
      <c r="K1050" s="7">
        <f t="shared" si="109"/>
        <v>-39.731577319896125</v>
      </c>
      <c r="L1050" s="2" t="str">
        <f t="shared" si="104"/>
        <v>Normal</v>
      </c>
      <c r="M1050" s="2" t="str">
        <f t="shared" si="105"/>
        <v>Normal</v>
      </c>
      <c r="N1050" s="2" t="str">
        <f t="shared" si="106"/>
        <v>No</v>
      </c>
    </row>
    <row r="1051" spans="1:14" x14ac:dyDescent="0.25">
      <c r="A1051" s="3">
        <v>45009</v>
      </c>
      <c r="B1051" s="4">
        <v>2023</v>
      </c>
      <c r="C1051" s="5">
        <v>1895</v>
      </c>
      <c r="D1051" s="5">
        <v>1940</v>
      </c>
      <c r="E1051" s="5">
        <v>1885</v>
      </c>
      <c r="F1051" s="5">
        <v>1895</v>
      </c>
      <c r="G1051" s="5">
        <v>1599.56</v>
      </c>
      <c r="H1051" s="6">
        <v>78590800</v>
      </c>
      <c r="I1051" s="22" t="str">
        <f t="shared" si="107"/>
        <v>+</v>
      </c>
      <c r="J1051" s="7">
        <f t="shared" si="108"/>
        <v>0.53050397877984079</v>
      </c>
      <c r="K1051" s="7">
        <f t="shared" si="109"/>
        <v>116.78845204304278</v>
      </c>
      <c r="L1051" s="2" t="str">
        <f t="shared" si="104"/>
        <v>Normal</v>
      </c>
      <c r="M1051" s="2" t="str">
        <f t="shared" si="105"/>
        <v>Normal</v>
      </c>
      <c r="N1051" s="2" t="str">
        <f t="shared" si="106"/>
        <v>No</v>
      </c>
    </row>
    <row r="1052" spans="1:14" x14ac:dyDescent="0.25">
      <c r="A1052" s="3">
        <v>45012</v>
      </c>
      <c r="B1052" s="4">
        <v>2023</v>
      </c>
      <c r="C1052" s="5">
        <v>1935</v>
      </c>
      <c r="D1052" s="5">
        <v>2010</v>
      </c>
      <c r="E1052" s="5">
        <v>1935</v>
      </c>
      <c r="F1052" s="5">
        <v>1960</v>
      </c>
      <c r="G1052" s="5">
        <v>1654.43</v>
      </c>
      <c r="H1052" s="6">
        <v>128759700</v>
      </c>
      <c r="I1052" s="22" t="str">
        <f t="shared" si="107"/>
        <v>+</v>
      </c>
      <c r="J1052" s="7">
        <f t="shared" si="108"/>
        <v>3.4300791556728232</v>
      </c>
      <c r="K1052" s="7">
        <f t="shared" si="109"/>
        <v>63.835588898446126</v>
      </c>
      <c r="L1052" s="2" t="str">
        <f t="shared" si="104"/>
        <v>Normal</v>
      </c>
      <c r="M1052" s="2" t="str">
        <f t="shared" si="105"/>
        <v>Normal</v>
      </c>
      <c r="N1052" s="2" t="str">
        <f t="shared" si="106"/>
        <v>No</v>
      </c>
    </row>
    <row r="1053" spans="1:14" x14ac:dyDescent="0.25">
      <c r="A1053" s="3">
        <v>45013</v>
      </c>
      <c r="B1053" s="4">
        <v>2023</v>
      </c>
      <c r="C1053" s="5">
        <v>1970</v>
      </c>
      <c r="D1053" s="5">
        <v>2010</v>
      </c>
      <c r="E1053" s="5">
        <v>1970</v>
      </c>
      <c r="F1053" s="5">
        <v>1995</v>
      </c>
      <c r="G1053" s="5">
        <v>1683.97</v>
      </c>
      <c r="H1053" s="6">
        <v>71821100</v>
      </c>
      <c r="I1053" s="22" t="str">
        <f t="shared" si="107"/>
        <v>+</v>
      </c>
      <c r="J1053" s="7">
        <f t="shared" si="108"/>
        <v>1.7857142857142856</v>
      </c>
      <c r="K1053" s="7">
        <f t="shared" si="109"/>
        <v>-44.220823751530951</v>
      </c>
      <c r="L1053" s="2" t="str">
        <f t="shared" si="104"/>
        <v>Normal</v>
      </c>
      <c r="M1053" s="2" t="str">
        <f t="shared" si="105"/>
        <v>Normal</v>
      </c>
      <c r="N1053" s="2" t="str">
        <f t="shared" si="106"/>
        <v>No</v>
      </c>
    </row>
    <row r="1054" spans="1:14" x14ac:dyDescent="0.25">
      <c r="A1054" s="3">
        <v>45014</v>
      </c>
      <c r="B1054" s="4">
        <v>2023</v>
      </c>
      <c r="C1054" s="5">
        <v>2000</v>
      </c>
      <c r="D1054" s="5">
        <v>2090</v>
      </c>
      <c r="E1054" s="5">
        <v>2000</v>
      </c>
      <c r="F1054" s="5">
        <v>2080</v>
      </c>
      <c r="G1054" s="5">
        <v>1755.72</v>
      </c>
      <c r="H1054" s="6">
        <v>147076200</v>
      </c>
      <c r="I1054" s="22" t="str">
        <f t="shared" si="107"/>
        <v>+</v>
      </c>
      <c r="J1054" s="7">
        <f t="shared" si="108"/>
        <v>4.2606516290726812</v>
      </c>
      <c r="K1054" s="7">
        <f t="shared" si="109"/>
        <v>104.78132470819857</v>
      </c>
      <c r="L1054" s="2" t="str">
        <f t="shared" si="104"/>
        <v>Normal</v>
      </c>
      <c r="M1054" s="2" t="str">
        <f t="shared" si="105"/>
        <v>Normal</v>
      </c>
      <c r="N1054" s="2" t="str">
        <f t="shared" si="106"/>
        <v>No</v>
      </c>
    </row>
    <row r="1055" spans="1:14" x14ac:dyDescent="0.25">
      <c r="A1055" s="3">
        <v>45015</v>
      </c>
      <c r="B1055" s="4">
        <v>2023</v>
      </c>
      <c r="C1055" s="5">
        <v>2070</v>
      </c>
      <c r="D1055" s="5">
        <v>2090</v>
      </c>
      <c r="E1055" s="5">
        <v>2040</v>
      </c>
      <c r="F1055" s="5">
        <v>2090</v>
      </c>
      <c r="G1055" s="5">
        <v>1764.16</v>
      </c>
      <c r="H1055" s="6">
        <v>83062700</v>
      </c>
      <c r="I1055" s="22" t="str">
        <f t="shared" si="107"/>
        <v>+</v>
      </c>
      <c r="J1055" s="7">
        <f t="shared" si="108"/>
        <v>0.48076923076923078</v>
      </c>
      <c r="K1055" s="7">
        <f t="shared" si="109"/>
        <v>-43.524037199764479</v>
      </c>
      <c r="L1055" s="2" t="str">
        <f t="shared" si="104"/>
        <v>Normal</v>
      </c>
      <c r="M1055" s="2" t="str">
        <f t="shared" si="105"/>
        <v>Normal</v>
      </c>
      <c r="N1055" s="2" t="str">
        <f t="shared" si="106"/>
        <v>No</v>
      </c>
    </row>
    <row r="1056" spans="1:14" x14ac:dyDescent="0.25">
      <c r="A1056" s="3">
        <v>45016</v>
      </c>
      <c r="B1056" s="4">
        <v>2023</v>
      </c>
      <c r="C1056" s="5">
        <v>2080</v>
      </c>
      <c r="D1056" s="5">
        <v>2100</v>
      </c>
      <c r="E1056" s="5">
        <v>2050</v>
      </c>
      <c r="F1056" s="5">
        <v>2090</v>
      </c>
      <c r="G1056" s="5">
        <v>1764.16</v>
      </c>
      <c r="H1056" s="6">
        <v>63907600</v>
      </c>
      <c r="I1056" s="22" t="str">
        <f t="shared" si="107"/>
        <v>0</v>
      </c>
      <c r="J1056" s="7">
        <f t="shared" si="108"/>
        <v>0</v>
      </c>
      <c r="K1056" s="7">
        <f t="shared" si="109"/>
        <v>-23.061012945642268</v>
      </c>
      <c r="L1056" s="2" t="str">
        <f t="shared" si="104"/>
        <v>Normal</v>
      </c>
      <c r="M1056" s="2" t="str">
        <f t="shared" si="105"/>
        <v>Normal</v>
      </c>
      <c r="N1056" s="2" t="str">
        <f t="shared" si="106"/>
        <v>No</v>
      </c>
    </row>
    <row r="1057" spans="1:14" x14ac:dyDescent="0.25">
      <c r="A1057" s="3">
        <v>45019</v>
      </c>
      <c r="B1057" s="4">
        <v>2023</v>
      </c>
      <c r="C1057" s="5">
        <v>2100</v>
      </c>
      <c r="D1057" s="5">
        <v>2110</v>
      </c>
      <c r="E1057" s="5">
        <v>2070</v>
      </c>
      <c r="F1057" s="5">
        <v>2090</v>
      </c>
      <c r="G1057" s="5">
        <v>1764.16</v>
      </c>
      <c r="H1057" s="6">
        <v>48072300</v>
      </c>
      <c r="I1057" s="22" t="str">
        <f t="shared" si="107"/>
        <v>0</v>
      </c>
      <c r="J1057" s="7">
        <f t="shared" si="108"/>
        <v>0</v>
      </c>
      <c r="K1057" s="7">
        <f t="shared" si="109"/>
        <v>-24.778430108469102</v>
      </c>
      <c r="L1057" s="2" t="str">
        <f t="shared" si="104"/>
        <v>Normal</v>
      </c>
      <c r="M1057" s="2" t="str">
        <f t="shared" si="105"/>
        <v>Normal</v>
      </c>
      <c r="N1057" s="2" t="str">
        <f t="shared" si="106"/>
        <v>No</v>
      </c>
    </row>
    <row r="1058" spans="1:14" x14ac:dyDescent="0.25">
      <c r="A1058" s="3">
        <v>45020</v>
      </c>
      <c r="B1058" s="4">
        <v>2023</v>
      </c>
      <c r="C1058" s="5">
        <v>2090</v>
      </c>
      <c r="D1058" s="5">
        <v>2100</v>
      </c>
      <c r="E1058" s="5">
        <v>2040</v>
      </c>
      <c r="F1058" s="5">
        <v>2050</v>
      </c>
      <c r="G1058" s="5">
        <v>1730.4</v>
      </c>
      <c r="H1058" s="6">
        <v>64915300</v>
      </c>
      <c r="I1058" s="22" t="str">
        <f t="shared" si="107"/>
        <v>-</v>
      </c>
      <c r="J1058" s="7">
        <f t="shared" si="108"/>
        <v>-1.9138755980861244</v>
      </c>
      <c r="K1058" s="7">
        <f t="shared" si="109"/>
        <v>35.036809139566863</v>
      </c>
      <c r="L1058" s="2" t="str">
        <f t="shared" si="104"/>
        <v>Normal</v>
      </c>
      <c r="M1058" s="2" t="str">
        <f t="shared" si="105"/>
        <v>Normal</v>
      </c>
      <c r="N1058" s="2" t="str">
        <f t="shared" si="106"/>
        <v>No</v>
      </c>
    </row>
    <row r="1059" spans="1:14" x14ac:dyDescent="0.25">
      <c r="A1059" s="3">
        <v>45021</v>
      </c>
      <c r="B1059" s="4">
        <v>2023</v>
      </c>
      <c r="C1059" s="5">
        <v>2070</v>
      </c>
      <c r="D1059" s="5">
        <v>2150</v>
      </c>
      <c r="E1059" s="5">
        <v>2070</v>
      </c>
      <c r="F1059" s="5">
        <v>2100</v>
      </c>
      <c r="G1059" s="5">
        <v>1772.6</v>
      </c>
      <c r="H1059" s="6">
        <v>112473600</v>
      </c>
      <c r="I1059" s="22" t="str">
        <f t="shared" si="107"/>
        <v>+</v>
      </c>
      <c r="J1059" s="7">
        <f t="shared" si="108"/>
        <v>2.4390243902439024</v>
      </c>
      <c r="K1059" s="7">
        <f t="shared" si="109"/>
        <v>73.262081512370742</v>
      </c>
      <c r="L1059" s="2" t="str">
        <f t="shared" si="104"/>
        <v>Normal</v>
      </c>
      <c r="M1059" s="2" t="str">
        <f t="shared" si="105"/>
        <v>Normal</v>
      </c>
      <c r="N1059" s="2" t="str">
        <f t="shared" si="106"/>
        <v>No</v>
      </c>
    </row>
    <row r="1060" spans="1:14" x14ac:dyDescent="0.25">
      <c r="A1060" s="3">
        <v>45022</v>
      </c>
      <c r="B1060" s="4">
        <v>2023</v>
      </c>
      <c r="C1060" s="5">
        <v>2100</v>
      </c>
      <c r="D1060" s="5">
        <v>2120</v>
      </c>
      <c r="E1060" s="5">
        <v>2080</v>
      </c>
      <c r="F1060" s="5">
        <v>2100</v>
      </c>
      <c r="G1060" s="5">
        <v>1772.6</v>
      </c>
      <c r="H1060" s="6">
        <v>73515100</v>
      </c>
      <c r="I1060" s="22" t="str">
        <f t="shared" si="107"/>
        <v>0</v>
      </c>
      <c r="J1060" s="7">
        <f t="shared" si="108"/>
        <v>0</v>
      </c>
      <c r="K1060" s="7">
        <f t="shared" si="109"/>
        <v>-34.637906139751905</v>
      </c>
      <c r="L1060" s="2" t="str">
        <f t="shared" si="104"/>
        <v>Normal</v>
      </c>
      <c r="M1060" s="2" t="str">
        <f t="shared" si="105"/>
        <v>Normal</v>
      </c>
      <c r="N1060" s="2" t="str">
        <f t="shared" si="106"/>
        <v>No</v>
      </c>
    </row>
    <row r="1061" spans="1:14" x14ac:dyDescent="0.25">
      <c r="A1061" s="3">
        <v>45026</v>
      </c>
      <c r="B1061" s="4">
        <v>2023</v>
      </c>
      <c r="C1061" s="5">
        <v>2100</v>
      </c>
      <c r="D1061" s="5">
        <v>2100</v>
      </c>
      <c r="E1061" s="5">
        <v>2010</v>
      </c>
      <c r="F1061" s="5">
        <v>2020</v>
      </c>
      <c r="G1061" s="5">
        <v>1705.07</v>
      </c>
      <c r="H1061" s="6">
        <v>50599000</v>
      </c>
      <c r="I1061" s="22" t="str">
        <f t="shared" si="107"/>
        <v>-</v>
      </c>
      <c r="J1061" s="7">
        <f t="shared" si="108"/>
        <v>-3.8095238095238098</v>
      </c>
      <c r="K1061" s="7">
        <f t="shared" si="109"/>
        <v>-31.171963310938843</v>
      </c>
      <c r="L1061" s="2" t="str">
        <f t="shared" si="104"/>
        <v>Normal</v>
      </c>
      <c r="M1061" s="2" t="str">
        <f t="shared" si="105"/>
        <v>Normal</v>
      </c>
      <c r="N1061" s="2" t="str">
        <f t="shared" si="106"/>
        <v>No</v>
      </c>
    </row>
    <row r="1062" spans="1:14" x14ac:dyDescent="0.25">
      <c r="A1062" s="3">
        <v>45027</v>
      </c>
      <c r="B1062" s="4">
        <v>2023</v>
      </c>
      <c r="C1062" s="5">
        <v>2030</v>
      </c>
      <c r="D1062" s="5">
        <v>2110</v>
      </c>
      <c r="E1062" s="5">
        <v>2030</v>
      </c>
      <c r="F1062" s="5">
        <v>2110</v>
      </c>
      <c r="G1062" s="5">
        <v>1781.04</v>
      </c>
      <c r="H1062" s="6">
        <v>86677500</v>
      </c>
      <c r="I1062" s="22" t="str">
        <f t="shared" si="107"/>
        <v>+</v>
      </c>
      <c r="J1062" s="7">
        <f t="shared" si="108"/>
        <v>4.455445544554455</v>
      </c>
      <c r="K1062" s="7">
        <f t="shared" si="109"/>
        <v>71.302792545307213</v>
      </c>
      <c r="L1062" s="2" t="str">
        <f t="shared" si="104"/>
        <v>Normal</v>
      </c>
      <c r="M1062" s="2" t="str">
        <f t="shared" si="105"/>
        <v>Normal</v>
      </c>
      <c r="N1062" s="2" t="str">
        <f t="shared" si="106"/>
        <v>No</v>
      </c>
    </row>
    <row r="1063" spans="1:14" x14ac:dyDescent="0.25">
      <c r="A1063" s="3">
        <v>45028</v>
      </c>
      <c r="B1063" s="4">
        <v>2023</v>
      </c>
      <c r="C1063" s="5">
        <v>2120</v>
      </c>
      <c r="D1063" s="5">
        <v>2140</v>
      </c>
      <c r="E1063" s="5">
        <v>2100</v>
      </c>
      <c r="F1063" s="5">
        <v>2110</v>
      </c>
      <c r="G1063" s="5">
        <v>1781.04</v>
      </c>
      <c r="H1063" s="6">
        <v>61352700</v>
      </c>
      <c r="I1063" s="22" t="str">
        <f t="shared" si="107"/>
        <v>0</v>
      </c>
      <c r="J1063" s="7">
        <f t="shared" si="108"/>
        <v>0</v>
      </c>
      <c r="K1063" s="7">
        <f t="shared" si="109"/>
        <v>-29.217270918058318</v>
      </c>
      <c r="L1063" s="2" t="str">
        <f t="shared" si="104"/>
        <v>Normal</v>
      </c>
      <c r="M1063" s="2" t="str">
        <f t="shared" si="105"/>
        <v>Normal</v>
      </c>
      <c r="N1063" s="2" t="str">
        <f t="shared" si="106"/>
        <v>No</v>
      </c>
    </row>
    <row r="1064" spans="1:14" x14ac:dyDescent="0.25">
      <c r="A1064" s="3">
        <v>45029</v>
      </c>
      <c r="B1064" s="4">
        <v>2023</v>
      </c>
      <c r="C1064" s="5">
        <v>2110</v>
      </c>
      <c r="D1064" s="5">
        <v>2130</v>
      </c>
      <c r="E1064" s="5">
        <v>2100</v>
      </c>
      <c r="F1064" s="5">
        <v>2130</v>
      </c>
      <c r="G1064" s="5">
        <v>1797.92</v>
      </c>
      <c r="H1064" s="6">
        <v>46749000</v>
      </c>
      <c r="I1064" s="22" t="str">
        <f t="shared" si="107"/>
        <v>+</v>
      </c>
      <c r="J1064" s="7">
        <f t="shared" si="108"/>
        <v>0.94786729857819907</v>
      </c>
      <c r="K1064" s="7">
        <f t="shared" si="109"/>
        <v>-23.802864421614697</v>
      </c>
      <c r="L1064" s="2" t="str">
        <f t="shared" si="104"/>
        <v>Normal</v>
      </c>
      <c r="M1064" s="2" t="str">
        <f t="shared" si="105"/>
        <v>Normal</v>
      </c>
      <c r="N1064" s="2" t="str">
        <f t="shared" si="106"/>
        <v>No</v>
      </c>
    </row>
    <row r="1065" spans="1:14" x14ac:dyDescent="0.25">
      <c r="A1065" s="3">
        <v>45030</v>
      </c>
      <c r="B1065" s="4">
        <v>2023</v>
      </c>
      <c r="C1065" s="5">
        <v>2140</v>
      </c>
      <c r="D1065" s="5">
        <v>2160</v>
      </c>
      <c r="E1065" s="5">
        <v>2110</v>
      </c>
      <c r="F1065" s="5">
        <v>2110</v>
      </c>
      <c r="G1065" s="5">
        <v>1781.04</v>
      </c>
      <c r="H1065" s="6">
        <v>96329700</v>
      </c>
      <c r="I1065" s="22" t="str">
        <f t="shared" si="107"/>
        <v>-</v>
      </c>
      <c r="J1065" s="7">
        <f t="shared" si="108"/>
        <v>-0.93896713615023475</v>
      </c>
      <c r="K1065" s="7">
        <f t="shared" si="109"/>
        <v>106.05724186613617</v>
      </c>
      <c r="L1065" s="2" t="str">
        <f t="shared" si="104"/>
        <v>Normal</v>
      </c>
      <c r="M1065" s="2" t="str">
        <f t="shared" si="105"/>
        <v>Normal</v>
      </c>
      <c r="N1065" s="2" t="str">
        <f t="shared" si="106"/>
        <v>No</v>
      </c>
    </row>
    <row r="1066" spans="1:14" x14ac:dyDescent="0.25">
      <c r="A1066" s="3">
        <v>45033</v>
      </c>
      <c r="B1066" s="4">
        <v>2023</v>
      </c>
      <c r="C1066" s="5">
        <v>2130</v>
      </c>
      <c r="D1066" s="5">
        <v>2140</v>
      </c>
      <c r="E1066" s="5">
        <v>2100</v>
      </c>
      <c r="F1066" s="5">
        <v>2120</v>
      </c>
      <c r="G1066" s="5">
        <v>1789.48</v>
      </c>
      <c r="H1066" s="6">
        <v>45802200</v>
      </c>
      <c r="I1066" s="22" t="str">
        <f t="shared" si="107"/>
        <v>+</v>
      </c>
      <c r="J1066" s="7">
        <f t="shared" si="108"/>
        <v>0.47393364928909953</v>
      </c>
      <c r="K1066" s="7">
        <f t="shared" si="109"/>
        <v>-52.452670360231579</v>
      </c>
      <c r="L1066" s="2" t="str">
        <f t="shared" si="104"/>
        <v>Normal</v>
      </c>
      <c r="M1066" s="2" t="str">
        <f t="shared" si="105"/>
        <v>Normal</v>
      </c>
      <c r="N1066" s="2" t="str">
        <f t="shared" si="106"/>
        <v>No</v>
      </c>
    </row>
    <row r="1067" spans="1:14" x14ac:dyDescent="0.25">
      <c r="A1067" s="3">
        <v>45034</v>
      </c>
      <c r="B1067" s="4">
        <v>2023</v>
      </c>
      <c r="C1067" s="5">
        <v>2120</v>
      </c>
      <c r="D1067" s="5">
        <v>2130</v>
      </c>
      <c r="E1067" s="5">
        <v>2080</v>
      </c>
      <c r="F1067" s="5">
        <v>2100</v>
      </c>
      <c r="G1067" s="5">
        <v>1772.6</v>
      </c>
      <c r="H1067" s="6">
        <v>41960600</v>
      </c>
      <c r="I1067" s="22" t="str">
        <f t="shared" si="107"/>
        <v>-</v>
      </c>
      <c r="J1067" s="7">
        <f t="shared" si="108"/>
        <v>-0.94339622641509435</v>
      </c>
      <c r="K1067" s="7">
        <f t="shared" si="109"/>
        <v>-8.38737003899376</v>
      </c>
      <c r="L1067" s="2" t="str">
        <f t="shared" si="104"/>
        <v>Normal</v>
      </c>
      <c r="M1067" s="2" t="str">
        <f t="shared" si="105"/>
        <v>Normal</v>
      </c>
      <c r="N1067" s="2" t="str">
        <f t="shared" si="106"/>
        <v>No</v>
      </c>
    </row>
    <row r="1068" spans="1:14" x14ac:dyDescent="0.25">
      <c r="A1068" s="3">
        <v>45042</v>
      </c>
      <c r="B1068" s="4">
        <v>2023</v>
      </c>
      <c r="C1068" s="5">
        <v>2080</v>
      </c>
      <c r="D1068" s="5">
        <v>2110</v>
      </c>
      <c r="E1068" s="5">
        <v>2060</v>
      </c>
      <c r="F1068" s="5">
        <v>2110</v>
      </c>
      <c r="G1068" s="5">
        <v>1781.04</v>
      </c>
      <c r="H1068" s="6">
        <v>53065900</v>
      </c>
      <c r="I1068" s="22" t="str">
        <f t="shared" si="107"/>
        <v>+</v>
      </c>
      <c r="J1068" s="7">
        <f t="shared" si="108"/>
        <v>0.47619047619047622</v>
      </c>
      <c r="K1068" s="7">
        <f t="shared" si="109"/>
        <v>26.466018121761842</v>
      </c>
      <c r="L1068" s="2" t="str">
        <f t="shared" si="104"/>
        <v>Normal</v>
      </c>
      <c r="M1068" s="2" t="str">
        <f t="shared" si="105"/>
        <v>Normal</v>
      </c>
      <c r="N1068" s="2" t="str">
        <f t="shared" si="106"/>
        <v>No</v>
      </c>
    </row>
    <row r="1069" spans="1:14" x14ac:dyDescent="0.25">
      <c r="A1069" s="3">
        <v>45043</v>
      </c>
      <c r="B1069" s="4">
        <v>2023</v>
      </c>
      <c r="C1069" s="5">
        <v>2120</v>
      </c>
      <c r="D1069" s="5">
        <v>2120</v>
      </c>
      <c r="E1069" s="5">
        <v>2080</v>
      </c>
      <c r="F1069" s="5">
        <v>2080</v>
      </c>
      <c r="G1069" s="5">
        <v>1755.72</v>
      </c>
      <c r="H1069" s="6">
        <v>24606800</v>
      </c>
      <c r="I1069" s="22" t="str">
        <f t="shared" si="107"/>
        <v>-</v>
      </c>
      <c r="J1069" s="7">
        <f t="shared" si="108"/>
        <v>-1.4218009478672986</v>
      </c>
      <c r="K1069" s="7">
        <f t="shared" si="109"/>
        <v>-53.629732087837958</v>
      </c>
      <c r="L1069" s="2" t="str">
        <f t="shared" si="104"/>
        <v>Normal</v>
      </c>
      <c r="M1069" s="2" t="str">
        <f t="shared" si="105"/>
        <v>Normal</v>
      </c>
      <c r="N1069" s="2" t="str">
        <f t="shared" si="106"/>
        <v>No</v>
      </c>
    </row>
    <row r="1070" spans="1:14" x14ac:dyDescent="0.25">
      <c r="A1070" s="3">
        <v>45044</v>
      </c>
      <c r="B1070" s="4">
        <v>2023</v>
      </c>
      <c r="C1070" s="5">
        <v>2090</v>
      </c>
      <c r="D1070" s="5">
        <v>2110</v>
      </c>
      <c r="E1070" s="5">
        <v>2070</v>
      </c>
      <c r="F1070" s="5">
        <v>2100</v>
      </c>
      <c r="G1070" s="5">
        <v>1772.6</v>
      </c>
      <c r="H1070" s="6">
        <v>38485900</v>
      </c>
      <c r="I1070" s="22" t="str">
        <f t="shared" si="107"/>
        <v>+</v>
      </c>
      <c r="J1070" s="7">
        <f t="shared" si="108"/>
        <v>0.96153846153846156</v>
      </c>
      <c r="K1070" s="7">
        <f t="shared" si="109"/>
        <v>56.40351447567339</v>
      </c>
      <c r="L1070" s="2" t="str">
        <f t="shared" si="104"/>
        <v>Normal</v>
      </c>
      <c r="M1070" s="2" t="str">
        <f t="shared" si="105"/>
        <v>Normal</v>
      </c>
      <c r="N1070" s="2" t="str">
        <f t="shared" si="106"/>
        <v>No</v>
      </c>
    </row>
    <row r="1071" spans="1:14" x14ac:dyDescent="0.25">
      <c r="A1071" s="3">
        <v>45048</v>
      </c>
      <c r="B1071" s="4">
        <v>2023</v>
      </c>
      <c r="C1071" s="5">
        <v>2090</v>
      </c>
      <c r="D1071" s="5">
        <v>2100</v>
      </c>
      <c r="E1071" s="5">
        <v>2030</v>
      </c>
      <c r="F1071" s="5">
        <v>2060</v>
      </c>
      <c r="G1071" s="5">
        <v>1738.84</v>
      </c>
      <c r="H1071" s="6">
        <v>45566000</v>
      </c>
      <c r="I1071" s="22" t="str">
        <f t="shared" si="107"/>
        <v>-</v>
      </c>
      <c r="J1071" s="7">
        <f t="shared" si="108"/>
        <v>-1.9047619047619049</v>
      </c>
      <c r="K1071" s="7">
        <f t="shared" si="109"/>
        <v>18.396607588753284</v>
      </c>
      <c r="L1071" s="2" t="str">
        <f t="shared" si="104"/>
        <v>Normal</v>
      </c>
      <c r="M1071" s="2" t="str">
        <f t="shared" si="105"/>
        <v>Normal</v>
      </c>
      <c r="N1071" s="2" t="str">
        <f t="shared" si="106"/>
        <v>No</v>
      </c>
    </row>
    <row r="1072" spans="1:14" x14ac:dyDescent="0.25">
      <c r="A1072" s="3">
        <v>45049</v>
      </c>
      <c r="B1072" s="4">
        <v>2023</v>
      </c>
      <c r="C1072" s="5">
        <v>2110</v>
      </c>
      <c r="D1072" s="5">
        <v>2150</v>
      </c>
      <c r="E1072" s="5">
        <v>2100</v>
      </c>
      <c r="F1072" s="5">
        <v>2120</v>
      </c>
      <c r="G1072" s="5">
        <v>1789.48</v>
      </c>
      <c r="H1072" s="6">
        <v>84879600</v>
      </c>
      <c r="I1072" s="22" t="str">
        <f t="shared" si="107"/>
        <v>+</v>
      </c>
      <c r="J1072" s="7">
        <f t="shared" si="108"/>
        <v>2.912621359223301</v>
      </c>
      <c r="K1072" s="7">
        <f t="shared" si="109"/>
        <v>86.278365447921701</v>
      </c>
      <c r="L1072" s="2" t="str">
        <f t="shared" si="104"/>
        <v>Normal</v>
      </c>
      <c r="M1072" s="2" t="str">
        <f t="shared" si="105"/>
        <v>Normal</v>
      </c>
      <c r="N1072" s="2" t="str">
        <f t="shared" si="106"/>
        <v>No</v>
      </c>
    </row>
    <row r="1073" spans="1:14" x14ac:dyDescent="0.25">
      <c r="A1073" s="3">
        <v>45050</v>
      </c>
      <c r="B1073" s="4">
        <v>2023</v>
      </c>
      <c r="C1073" s="5">
        <v>2140</v>
      </c>
      <c r="D1073" s="5">
        <v>2150</v>
      </c>
      <c r="E1073" s="5">
        <v>2110</v>
      </c>
      <c r="F1073" s="5">
        <v>2130</v>
      </c>
      <c r="G1073" s="5">
        <v>1797.92</v>
      </c>
      <c r="H1073" s="6">
        <v>56925500</v>
      </c>
      <c r="I1073" s="22" t="str">
        <f t="shared" si="107"/>
        <v>+</v>
      </c>
      <c r="J1073" s="7">
        <f t="shared" si="108"/>
        <v>0.47169811320754718</v>
      </c>
      <c r="K1073" s="7">
        <f t="shared" si="109"/>
        <v>-32.933826266853281</v>
      </c>
      <c r="L1073" s="2" t="str">
        <f t="shared" si="104"/>
        <v>Normal</v>
      </c>
      <c r="M1073" s="2" t="str">
        <f t="shared" si="105"/>
        <v>Normal</v>
      </c>
      <c r="N1073" s="2" t="str">
        <f t="shared" si="106"/>
        <v>No</v>
      </c>
    </row>
    <row r="1074" spans="1:14" x14ac:dyDescent="0.25">
      <c r="A1074" s="3">
        <v>45051</v>
      </c>
      <c r="B1074" s="4">
        <v>2023</v>
      </c>
      <c r="C1074" s="5">
        <v>2130</v>
      </c>
      <c r="D1074" s="5">
        <v>2130</v>
      </c>
      <c r="E1074" s="5">
        <v>2020</v>
      </c>
      <c r="F1074" s="5">
        <v>2040</v>
      </c>
      <c r="G1074" s="5">
        <v>1721.95</v>
      </c>
      <c r="H1074" s="6">
        <v>65433100</v>
      </c>
      <c r="I1074" s="22" t="str">
        <f t="shared" si="107"/>
        <v>-</v>
      </c>
      <c r="J1074" s="7">
        <f t="shared" si="108"/>
        <v>-4.225352112676056</v>
      </c>
      <c r="K1074" s="7">
        <f t="shared" si="109"/>
        <v>14.945147605203294</v>
      </c>
      <c r="L1074" s="2" t="str">
        <f t="shared" si="104"/>
        <v>Normal</v>
      </c>
      <c r="M1074" s="2" t="str">
        <f t="shared" si="105"/>
        <v>Normal</v>
      </c>
      <c r="N1074" s="2" t="str">
        <f t="shared" si="106"/>
        <v>No</v>
      </c>
    </row>
    <row r="1075" spans="1:14" x14ac:dyDescent="0.25">
      <c r="A1075" s="3">
        <v>45054</v>
      </c>
      <c r="B1075" s="4">
        <v>2023</v>
      </c>
      <c r="C1075" s="5">
        <v>2060</v>
      </c>
      <c r="D1075" s="5">
        <v>2090</v>
      </c>
      <c r="E1075" s="5">
        <v>2040</v>
      </c>
      <c r="F1075" s="5">
        <v>2070</v>
      </c>
      <c r="G1075" s="5">
        <v>1747.28</v>
      </c>
      <c r="H1075" s="6">
        <v>29706800</v>
      </c>
      <c r="I1075" s="22" t="str">
        <f t="shared" si="107"/>
        <v>+</v>
      </c>
      <c r="J1075" s="7">
        <f t="shared" si="108"/>
        <v>1.4705882352941175</v>
      </c>
      <c r="K1075" s="7">
        <f t="shared" si="109"/>
        <v>-54.599736219130691</v>
      </c>
      <c r="L1075" s="2" t="str">
        <f t="shared" si="104"/>
        <v>Normal</v>
      </c>
      <c r="M1075" s="2" t="str">
        <f t="shared" si="105"/>
        <v>Normal</v>
      </c>
      <c r="N1075" s="2" t="str">
        <f t="shared" si="106"/>
        <v>No</v>
      </c>
    </row>
    <row r="1076" spans="1:14" x14ac:dyDescent="0.25">
      <c r="A1076" s="3">
        <v>45055</v>
      </c>
      <c r="B1076" s="4">
        <v>2023</v>
      </c>
      <c r="C1076" s="5">
        <v>2080</v>
      </c>
      <c r="D1076" s="5">
        <v>2120</v>
      </c>
      <c r="E1076" s="5">
        <v>2070</v>
      </c>
      <c r="F1076" s="5">
        <v>2110</v>
      </c>
      <c r="G1076" s="5">
        <v>1781.04</v>
      </c>
      <c r="H1076" s="6">
        <v>38860300</v>
      </c>
      <c r="I1076" s="22" t="str">
        <f t="shared" si="107"/>
        <v>+</v>
      </c>
      <c r="J1076" s="7">
        <f t="shared" si="108"/>
        <v>1.932367149758454</v>
      </c>
      <c r="K1076" s="7">
        <f t="shared" si="109"/>
        <v>30.812810534961692</v>
      </c>
      <c r="L1076" s="2" t="str">
        <f t="shared" si="104"/>
        <v>Normal</v>
      </c>
      <c r="M1076" s="2" t="str">
        <f t="shared" si="105"/>
        <v>Normal</v>
      </c>
      <c r="N1076" s="2" t="str">
        <f t="shared" si="106"/>
        <v>No</v>
      </c>
    </row>
    <row r="1077" spans="1:14" x14ac:dyDescent="0.25">
      <c r="A1077" s="3">
        <v>45056</v>
      </c>
      <c r="B1077" s="4">
        <v>2023</v>
      </c>
      <c r="C1077" s="5">
        <v>2110</v>
      </c>
      <c r="D1077" s="5">
        <v>2120</v>
      </c>
      <c r="E1077" s="5">
        <v>2070</v>
      </c>
      <c r="F1077" s="5">
        <v>2100</v>
      </c>
      <c r="G1077" s="5">
        <v>1772.6</v>
      </c>
      <c r="H1077" s="6">
        <v>29596100</v>
      </c>
      <c r="I1077" s="22" t="str">
        <f t="shared" si="107"/>
        <v>-</v>
      </c>
      <c r="J1077" s="7">
        <f t="shared" si="108"/>
        <v>-0.47393364928909953</v>
      </c>
      <c r="K1077" s="7">
        <f t="shared" si="109"/>
        <v>-23.839754196442129</v>
      </c>
      <c r="L1077" s="2" t="str">
        <f t="shared" si="104"/>
        <v>Normal</v>
      </c>
      <c r="M1077" s="2" t="str">
        <f t="shared" si="105"/>
        <v>Normal</v>
      </c>
      <c r="N1077" s="2" t="str">
        <f t="shared" si="106"/>
        <v>No</v>
      </c>
    </row>
    <row r="1078" spans="1:14" x14ac:dyDescent="0.25">
      <c r="A1078" s="3">
        <v>45057</v>
      </c>
      <c r="B1078" s="4">
        <v>2023</v>
      </c>
      <c r="C1078" s="5">
        <v>2080</v>
      </c>
      <c r="D1078" s="5">
        <v>2080</v>
      </c>
      <c r="E1078" s="5">
        <v>2030</v>
      </c>
      <c r="F1078" s="5">
        <v>2040</v>
      </c>
      <c r="G1078" s="5">
        <v>1721.95</v>
      </c>
      <c r="H1078" s="6">
        <v>60984800</v>
      </c>
      <c r="I1078" s="22" t="str">
        <f t="shared" si="107"/>
        <v>-</v>
      </c>
      <c r="J1078" s="7">
        <f t="shared" si="108"/>
        <v>-2.8571428571428572</v>
      </c>
      <c r="K1078" s="7">
        <f t="shared" si="109"/>
        <v>106.05687911582946</v>
      </c>
      <c r="L1078" s="2" t="str">
        <f t="shared" si="104"/>
        <v>Normal</v>
      </c>
      <c r="M1078" s="2" t="str">
        <f t="shared" si="105"/>
        <v>Normal</v>
      </c>
      <c r="N1078" s="2" t="str">
        <f t="shared" si="106"/>
        <v>No</v>
      </c>
    </row>
    <row r="1079" spans="1:14" x14ac:dyDescent="0.25">
      <c r="A1079" s="3">
        <v>45058</v>
      </c>
      <c r="B1079" s="4">
        <v>2023</v>
      </c>
      <c r="C1079" s="5">
        <v>2030</v>
      </c>
      <c r="D1079" s="5">
        <v>2030</v>
      </c>
      <c r="E1079" s="5">
        <v>1990</v>
      </c>
      <c r="F1079" s="5">
        <v>2000</v>
      </c>
      <c r="G1079" s="5">
        <v>1688.19</v>
      </c>
      <c r="H1079" s="6">
        <v>55827200</v>
      </c>
      <c r="I1079" s="22" t="str">
        <f t="shared" si="107"/>
        <v>-</v>
      </c>
      <c r="J1079" s="7">
        <f t="shared" si="108"/>
        <v>-1.9607843137254901</v>
      </c>
      <c r="K1079" s="7">
        <f t="shared" si="109"/>
        <v>-8.4571893324238179</v>
      </c>
      <c r="L1079" s="2" t="str">
        <f t="shared" si="104"/>
        <v>Normal</v>
      </c>
      <c r="M1079" s="2" t="str">
        <f t="shared" si="105"/>
        <v>Normal</v>
      </c>
      <c r="N1079" s="2" t="str">
        <f t="shared" si="106"/>
        <v>No</v>
      </c>
    </row>
    <row r="1080" spans="1:14" x14ac:dyDescent="0.25">
      <c r="A1080" s="3">
        <v>45061</v>
      </c>
      <c r="B1080" s="4">
        <v>2023</v>
      </c>
      <c r="C1080" s="5">
        <v>2000</v>
      </c>
      <c r="D1080" s="5">
        <v>2020</v>
      </c>
      <c r="E1080" s="5">
        <v>1970</v>
      </c>
      <c r="F1080" s="5">
        <v>1990</v>
      </c>
      <c r="G1080" s="5">
        <v>1679.75</v>
      </c>
      <c r="H1080" s="6">
        <v>52156000</v>
      </c>
      <c r="I1080" s="22" t="str">
        <f t="shared" si="107"/>
        <v>-</v>
      </c>
      <c r="J1080" s="7">
        <f t="shared" si="108"/>
        <v>-0.5</v>
      </c>
      <c r="K1080" s="7">
        <f t="shared" si="109"/>
        <v>-6.5760059612518624</v>
      </c>
      <c r="L1080" s="2" t="str">
        <f t="shared" si="104"/>
        <v>Normal</v>
      </c>
      <c r="M1080" s="2" t="str">
        <f t="shared" si="105"/>
        <v>Normal</v>
      </c>
      <c r="N1080" s="2" t="str">
        <f t="shared" si="106"/>
        <v>No</v>
      </c>
    </row>
    <row r="1081" spans="1:14" x14ac:dyDescent="0.25">
      <c r="A1081" s="3">
        <v>45062</v>
      </c>
      <c r="B1081" s="4">
        <v>2023</v>
      </c>
      <c r="C1081" s="5">
        <v>1990</v>
      </c>
      <c r="D1081" s="5">
        <v>2000</v>
      </c>
      <c r="E1081" s="5">
        <v>1955</v>
      </c>
      <c r="F1081" s="5">
        <v>1970</v>
      </c>
      <c r="G1081" s="5">
        <v>1662.87</v>
      </c>
      <c r="H1081" s="6">
        <v>46780700</v>
      </c>
      <c r="I1081" s="22" t="str">
        <f t="shared" si="107"/>
        <v>-</v>
      </c>
      <c r="J1081" s="7">
        <f t="shared" si="108"/>
        <v>-1.0050251256281406</v>
      </c>
      <c r="K1081" s="7">
        <f t="shared" si="109"/>
        <v>-10.306196794232687</v>
      </c>
      <c r="L1081" s="2" t="str">
        <f t="shared" si="104"/>
        <v>Normal</v>
      </c>
      <c r="M1081" s="2" t="str">
        <f t="shared" si="105"/>
        <v>Normal</v>
      </c>
      <c r="N1081" s="2" t="str">
        <f t="shared" si="106"/>
        <v>No</v>
      </c>
    </row>
    <row r="1082" spans="1:14" x14ac:dyDescent="0.25">
      <c r="A1082" s="3">
        <v>45063</v>
      </c>
      <c r="B1082" s="4">
        <v>2023</v>
      </c>
      <c r="C1082" s="5">
        <v>1960</v>
      </c>
      <c r="D1082" s="5">
        <v>1965</v>
      </c>
      <c r="E1082" s="5">
        <v>1915</v>
      </c>
      <c r="F1082" s="5">
        <v>1935</v>
      </c>
      <c r="G1082" s="5">
        <v>1633.32</v>
      </c>
      <c r="H1082" s="6">
        <v>57535100</v>
      </c>
      <c r="I1082" s="22" t="str">
        <f t="shared" si="107"/>
        <v>-</v>
      </c>
      <c r="J1082" s="7">
        <f t="shared" si="108"/>
        <v>-1.7766497461928936</v>
      </c>
      <c r="K1082" s="7">
        <f t="shared" si="109"/>
        <v>22.988967672565824</v>
      </c>
      <c r="L1082" s="2" t="str">
        <f t="shared" si="104"/>
        <v>Normal</v>
      </c>
      <c r="M1082" s="2" t="str">
        <f t="shared" si="105"/>
        <v>Normal</v>
      </c>
      <c r="N1082" s="2" t="str">
        <f t="shared" si="106"/>
        <v>No</v>
      </c>
    </row>
    <row r="1083" spans="1:14" x14ac:dyDescent="0.25">
      <c r="A1083" s="3">
        <v>45065</v>
      </c>
      <c r="B1083" s="4">
        <v>2023</v>
      </c>
      <c r="C1083" s="5">
        <v>1935</v>
      </c>
      <c r="D1083" s="5">
        <v>1970</v>
      </c>
      <c r="E1083" s="5">
        <v>1920</v>
      </c>
      <c r="F1083" s="5">
        <v>1955</v>
      </c>
      <c r="G1083" s="5">
        <v>1650.21</v>
      </c>
      <c r="H1083" s="6">
        <v>45974800</v>
      </c>
      <c r="I1083" s="22" t="str">
        <f t="shared" si="107"/>
        <v>+</v>
      </c>
      <c r="J1083" s="7">
        <f t="shared" si="108"/>
        <v>1.03359173126615</v>
      </c>
      <c r="K1083" s="7">
        <f t="shared" si="109"/>
        <v>-20.09260434065466</v>
      </c>
      <c r="L1083" s="2" t="str">
        <f t="shared" si="104"/>
        <v>Normal</v>
      </c>
      <c r="M1083" s="2" t="str">
        <f t="shared" si="105"/>
        <v>Normal</v>
      </c>
      <c r="N1083" s="2" t="str">
        <f t="shared" si="106"/>
        <v>No</v>
      </c>
    </row>
    <row r="1084" spans="1:14" x14ac:dyDescent="0.25">
      <c r="A1084" s="3">
        <v>45068</v>
      </c>
      <c r="B1084" s="4">
        <v>2023</v>
      </c>
      <c r="C1084" s="5">
        <v>1960</v>
      </c>
      <c r="D1084" s="5">
        <v>1990</v>
      </c>
      <c r="E1084" s="5">
        <v>1935</v>
      </c>
      <c r="F1084" s="5">
        <v>1940</v>
      </c>
      <c r="G1084" s="5">
        <v>1637.55</v>
      </c>
      <c r="H1084" s="6">
        <v>51978000</v>
      </c>
      <c r="I1084" s="22" t="str">
        <f t="shared" si="107"/>
        <v>-</v>
      </c>
      <c r="J1084" s="7">
        <f t="shared" si="108"/>
        <v>-0.76726342710997442</v>
      </c>
      <c r="K1084" s="7">
        <f t="shared" si="109"/>
        <v>13.057588069986167</v>
      </c>
      <c r="L1084" s="2" t="str">
        <f t="shared" si="104"/>
        <v>Normal</v>
      </c>
      <c r="M1084" s="2" t="str">
        <f t="shared" si="105"/>
        <v>Normal</v>
      </c>
      <c r="N1084" s="2" t="str">
        <f t="shared" si="106"/>
        <v>No</v>
      </c>
    </row>
    <row r="1085" spans="1:14" x14ac:dyDescent="0.25">
      <c r="A1085" s="3">
        <v>45069</v>
      </c>
      <c r="B1085" s="4">
        <v>2023</v>
      </c>
      <c r="C1085" s="5">
        <v>1940</v>
      </c>
      <c r="D1085" s="5">
        <v>1970</v>
      </c>
      <c r="E1085" s="5">
        <v>1940</v>
      </c>
      <c r="F1085" s="5">
        <v>1945</v>
      </c>
      <c r="G1085" s="5">
        <v>1641.77</v>
      </c>
      <c r="H1085" s="6">
        <v>50066400</v>
      </c>
      <c r="I1085" s="22" t="str">
        <f t="shared" si="107"/>
        <v>+</v>
      </c>
      <c r="J1085" s="7">
        <f t="shared" si="108"/>
        <v>0.25773195876288657</v>
      </c>
      <c r="K1085" s="7">
        <f t="shared" si="109"/>
        <v>-3.6777098003001267</v>
      </c>
      <c r="L1085" s="2" t="str">
        <f t="shared" si="104"/>
        <v>Normal</v>
      </c>
      <c r="M1085" s="2" t="str">
        <f t="shared" si="105"/>
        <v>Normal</v>
      </c>
      <c r="N1085" s="2" t="str">
        <f t="shared" si="106"/>
        <v>No</v>
      </c>
    </row>
    <row r="1086" spans="1:14" x14ac:dyDescent="0.25">
      <c r="A1086" s="3">
        <v>45070</v>
      </c>
      <c r="B1086" s="4">
        <v>2023</v>
      </c>
      <c r="C1086" s="5">
        <v>1950</v>
      </c>
      <c r="D1086" s="5">
        <v>1960</v>
      </c>
      <c r="E1086" s="5">
        <v>1945</v>
      </c>
      <c r="F1086" s="5">
        <v>1950</v>
      </c>
      <c r="G1086" s="5">
        <v>1645.99</v>
      </c>
      <c r="H1086" s="6">
        <v>25578300</v>
      </c>
      <c r="I1086" s="22" t="str">
        <f t="shared" si="107"/>
        <v>+</v>
      </c>
      <c r="J1086" s="7">
        <f t="shared" si="108"/>
        <v>0.25706940874035988</v>
      </c>
      <c r="K1086" s="7">
        <f t="shared" si="109"/>
        <v>-48.911245865490628</v>
      </c>
      <c r="L1086" s="2" t="str">
        <f t="shared" si="104"/>
        <v>Normal</v>
      </c>
      <c r="M1086" s="2" t="str">
        <f t="shared" si="105"/>
        <v>Normal</v>
      </c>
      <c r="N1086" s="2" t="str">
        <f t="shared" si="106"/>
        <v>No</v>
      </c>
    </row>
    <row r="1087" spans="1:14" x14ac:dyDescent="0.25">
      <c r="A1087" s="3">
        <v>45071</v>
      </c>
      <c r="B1087" s="4">
        <v>2023</v>
      </c>
      <c r="C1087" s="5">
        <v>1950</v>
      </c>
      <c r="D1087" s="5">
        <v>1965</v>
      </c>
      <c r="E1087" s="5">
        <v>1940</v>
      </c>
      <c r="F1087" s="5">
        <v>1945</v>
      </c>
      <c r="G1087" s="5">
        <v>1641.77</v>
      </c>
      <c r="H1087" s="6">
        <v>30649800</v>
      </c>
      <c r="I1087" s="22" t="str">
        <f t="shared" si="107"/>
        <v>-</v>
      </c>
      <c r="J1087" s="7">
        <f t="shared" si="108"/>
        <v>-0.25641025641025639</v>
      </c>
      <c r="K1087" s="7">
        <f t="shared" si="109"/>
        <v>19.827353655246828</v>
      </c>
      <c r="L1087" s="2" t="str">
        <f t="shared" si="104"/>
        <v>Normal</v>
      </c>
      <c r="M1087" s="2" t="str">
        <f t="shared" si="105"/>
        <v>Normal</v>
      </c>
      <c r="N1087" s="2" t="str">
        <f t="shared" si="106"/>
        <v>No</v>
      </c>
    </row>
    <row r="1088" spans="1:14" x14ac:dyDescent="0.25">
      <c r="A1088" s="3">
        <v>45072</v>
      </c>
      <c r="B1088" s="4">
        <v>2023</v>
      </c>
      <c r="C1088" s="5">
        <v>1945</v>
      </c>
      <c r="D1088" s="5">
        <v>1950</v>
      </c>
      <c r="E1088" s="5">
        <v>1920</v>
      </c>
      <c r="F1088" s="5">
        <v>1920</v>
      </c>
      <c r="G1088" s="5">
        <v>1620.66</v>
      </c>
      <c r="H1088" s="6">
        <v>35480500</v>
      </c>
      <c r="I1088" s="22" t="str">
        <f t="shared" si="107"/>
        <v>-</v>
      </c>
      <c r="J1088" s="7">
        <f t="shared" si="108"/>
        <v>-1.2853470437017995</v>
      </c>
      <c r="K1088" s="7">
        <f t="shared" si="109"/>
        <v>15.760951131818151</v>
      </c>
      <c r="L1088" s="2" t="str">
        <f t="shared" si="104"/>
        <v>Normal</v>
      </c>
      <c r="M1088" s="2" t="str">
        <f t="shared" si="105"/>
        <v>Normal</v>
      </c>
      <c r="N1088" s="2" t="str">
        <f t="shared" si="106"/>
        <v>No</v>
      </c>
    </row>
    <row r="1089" spans="1:14" x14ac:dyDescent="0.25">
      <c r="A1089" s="3">
        <v>45075</v>
      </c>
      <c r="B1089" s="4">
        <v>2023</v>
      </c>
      <c r="C1089" s="5">
        <v>1920</v>
      </c>
      <c r="D1089" s="5">
        <v>1935</v>
      </c>
      <c r="E1089" s="5">
        <v>1905</v>
      </c>
      <c r="F1089" s="5">
        <v>1935</v>
      </c>
      <c r="G1089" s="5">
        <v>1633.32</v>
      </c>
      <c r="H1089" s="6">
        <v>33236600</v>
      </c>
      <c r="I1089" s="22" t="str">
        <f t="shared" si="107"/>
        <v>+</v>
      </c>
      <c r="J1089" s="7">
        <f t="shared" si="108"/>
        <v>0.78125</v>
      </c>
      <c r="K1089" s="7">
        <f t="shared" si="109"/>
        <v>-6.3243189921224339</v>
      </c>
      <c r="L1089" s="2" t="str">
        <f t="shared" si="104"/>
        <v>Normal</v>
      </c>
      <c r="M1089" s="2" t="str">
        <f t="shared" si="105"/>
        <v>Normal</v>
      </c>
      <c r="N1089" s="2" t="str">
        <f t="shared" si="106"/>
        <v>No</v>
      </c>
    </row>
    <row r="1090" spans="1:14" x14ac:dyDescent="0.25">
      <c r="A1090" s="3">
        <v>45076</v>
      </c>
      <c r="B1090" s="4">
        <v>2023</v>
      </c>
      <c r="C1090" s="5">
        <v>1935</v>
      </c>
      <c r="D1090" s="5">
        <v>1960</v>
      </c>
      <c r="E1090" s="5">
        <v>1930</v>
      </c>
      <c r="F1090" s="5">
        <v>1940</v>
      </c>
      <c r="G1090" s="5">
        <v>1637.55</v>
      </c>
      <c r="H1090" s="6">
        <v>20104800</v>
      </c>
      <c r="I1090" s="22" t="str">
        <f t="shared" si="107"/>
        <v>+</v>
      </c>
      <c r="J1090" s="7">
        <f t="shared" si="108"/>
        <v>0.2583979328165375</v>
      </c>
      <c r="K1090" s="7">
        <f t="shared" si="109"/>
        <v>-39.510058188864086</v>
      </c>
      <c r="L1090" s="2" t="str">
        <f t="shared" si="104"/>
        <v>Normal</v>
      </c>
      <c r="M1090" s="2" t="str">
        <f t="shared" si="105"/>
        <v>Normal</v>
      </c>
      <c r="N1090" s="2" t="str">
        <f t="shared" si="106"/>
        <v>No</v>
      </c>
    </row>
    <row r="1091" spans="1:14" x14ac:dyDescent="0.25">
      <c r="A1091" s="3">
        <v>45077</v>
      </c>
      <c r="B1091" s="4">
        <v>2023</v>
      </c>
      <c r="C1091" s="5">
        <v>1940</v>
      </c>
      <c r="D1091" s="5">
        <v>1945</v>
      </c>
      <c r="E1091" s="5">
        <v>1895</v>
      </c>
      <c r="F1091" s="5">
        <v>1895</v>
      </c>
      <c r="G1091" s="5">
        <v>1599.56</v>
      </c>
      <c r="H1091" s="6">
        <v>112564800</v>
      </c>
      <c r="I1091" s="22" t="str">
        <f t="shared" si="107"/>
        <v>-</v>
      </c>
      <c r="J1091" s="7">
        <f t="shared" si="108"/>
        <v>-2.3195876288659796</v>
      </c>
      <c r="K1091" s="7">
        <f t="shared" si="109"/>
        <v>459.8901754804823</v>
      </c>
      <c r="L1091" s="2" t="str">
        <f t="shared" ref="L1091:L1154" si="110">IFERROR(IF(OR(J1091="",ISBLANK(J1091)),"Normal",IF(J1091&lt;=$U$6,"Sharp Price Decrease",IF(J1091&gt;=$U$7,"Sharp Price Increase","Normal"))),"Normal")</f>
        <v>Normal</v>
      </c>
      <c r="M1091" s="2" t="str">
        <f t="shared" ref="M1091:M1154" si="111">IFERROR(IF(OR(K1091="",ISBLANK(K1091)),"Normal",IF(K1091&lt;=$U$8,"Sharp Volume Decrease",IF(K1091&gt;=$U$9,"Sharp Volume Increase","Normal"))),"Normal")</f>
        <v>Sharp Volume Increase</v>
      </c>
      <c r="N1091" s="2" t="str">
        <f t="shared" ref="N1091:N1154" si="112">IFERROR(IF(AND(OR(L1091="Sharp Price Increase",L1091="Sharp Price Decrease"),OR(M1091="Sharp Volume Increase",M1091="Sharp Volume Decrease")),"Yes","No"),"No")</f>
        <v>No</v>
      </c>
    </row>
    <row r="1092" spans="1:14" x14ac:dyDescent="0.25">
      <c r="A1092" s="3">
        <v>45082</v>
      </c>
      <c r="B1092" s="4">
        <v>2023</v>
      </c>
      <c r="C1092" s="5">
        <v>1905</v>
      </c>
      <c r="D1092" s="5">
        <v>1995</v>
      </c>
      <c r="E1092" s="5">
        <v>1905</v>
      </c>
      <c r="F1092" s="5">
        <v>1975</v>
      </c>
      <c r="G1092" s="5">
        <v>1667.09</v>
      </c>
      <c r="H1092" s="6">
        <v>65371800</v>
      </c>
      <c r="I1092" s="22" t="str">
        <f t="shared" ref="I1092:I1155" si="113">IFERROR(IF(OR(F1091="",F1092=""),"",IF(F1092-F1091&lt;0,"-",IF(F1092-F1091&gt;0,"+","0"))),"")</f>
        <v>+</v>
      </c>
      <c r="J1092" s="7">
        <f t="shared" ref="J1092:J1155" si="114">(F1092-F1091)/F1091*100</f>
        <v>4.2216358839050132</v>
      </c>
      <c r="K1092" s="7">
        <f t="shared" ref="K1092:K1155" si="115">(H1092-H1091)/H1091*100</f>
        <v>-41.925184427103325</v>
      </c>
      <c r="L1092" s="2" t="str">
        <f t="shared" si="110"/>
        <v>Normal</v>
      </c>
      <c r="M1092" s="2" t="str">
        <f t="shared" si="111"/>
        <v>Normal</v>
      </c>
      <c r="N1092" s="2" t="str">
        <f t="shared" si="112"/>
        <v>No</v>
      </c>
    </row>
    <row r="1093" spans="1:14" x14ac:dyDescent="0.25">
      <c r="A1093" s="3">
        <v>45083</v>
      </c>
      <c r="B1093" s="4">
        <v>2023</v>
      </c>
      <c r="C1093" s="5">
        <v>1985</v>
      </c>
      <c r="D1093" s="5">
        <v>2030</v>
      </c>
      <c r="E1093" s="5">
        <v>1985</v>
      </c>
      <c r="F1093" s="5">
        <v>2010</v>
      </c>
      <c r="G1093" s="5">
        <v>1696.63</v>
      </c>
      <c r="H1093" s="6">
        <v>49988100</v>
      </c>
      <c r="I1093" s="22" t="str">
        <f t="shared" si="113"/>
        <v>+</v>
      </c>
      <c r="J1093" s="7">
        <f t="shared" si="114"/>
        <v>1.7721518987341773</v>
      </c>
      <c r="K1093" s="7">
        <f t="shared" si="115"/>
        <v>-23.532624159041056</v>
      </c>
      <c r="L1093" s="2" t="str">
        <f t="shared" si="110"/>
        <v>Normal</v>
      </c>
      <c r="M1093" s="2" t="str">
        <f t="shared" si="111"/>
        <v>Normal</v>
      </c>
      <c r="N1093" s="2" t="str">
        <f t="shared" si="112"/>
        <v>No</v>
      </c>
    </row>
    <row r="1094" spans="1:14" x14ac:dyDescent="0.25">
      <c r="A1094" s="3">
        <v>45084</v>
      </c>
      <c r="B1094" s="4">
        <v>2023</v>
      </c>
      <c r="C1094" s="5">
        <v>2010</v>
      </c>
      <c r="D1094" s="5">
        <v>2030</v>
      </c>
      <c r="E1094" s="5">
        <v>1990</v>
      </c>
      <c r="F1094" s="5">
        <v>2020</v>
      </c>
      <c r="G1094" s="5">
        <v>1705.07</v>
      </c>
      <c r="H1094" s="6">
        <v>33846900</v>
      </c>
      <c r="I1094" s="22" t="str">
        <f t="shared" si="113"/>
        <v>+</v>
      </c>
      <c r="J1094" s="7">
        <f t="shared" si="114"/>
        <v>0.49751243781094528</v>
      </c>
      <c r="K1094" s="7">
        <f t="shared" si="115"/>
        <v>-32.290085040239575</v>
      </c>
      <c r="L1094" s="2" t="str">
        <f t="shared" si="110"/>
        <v>Normal</v>
      </c>
      <c r="M1094" s="2" t="str">
        <f t="shared" si="111"/>
        <v>Normal</v>
      </c>
      <c r="N1094" s="2" t="str">
        <f t="shared" si="112"/>
        <v>No</v>
      </c>
    </row>
    <row r="1095" spans="1:14" x14ac:dyDescent="0.25">
      <c r="A1095" s="3">
        <v>45085</v>
      </c>
      <c r="B1095" s="4">
        <v>2023</v>
      </c>
      <c r="C1095" s="5">
        <v>2040</v>
      </c>
      <c r="D1095" s="5">
        <v>2040</v>
      </c>
      <c r="E1095" s="5">
        <v>1985</v>
      </c>
      <c r="F1095" s="5">
        <v>1985</v>
      </c>
      <c r="G1095" s="5">
        <v>1675.53</v>
      </c>
      <c r="H1095" s="6">
        <v>36123800</v>
      </c>
      <c r="I1095" s="22" t="str">
        <f t="shared" si="113"/>
        <v>-</v>
      </c>
      <c r="J1095" s="7">
        <f t="shared" si="114"/>
        <v>-1.7326732673267329</v>
      </c>
      <c r="K1095" s="7">
        <f t="shared" si="115"/>
        <v>6.7270562444418838</v>
      </c>
      <c r="L1095" s="2" t="str">
        <f t="shared" si="110"/>
        <v>Normal</v>
      </c>
      <c r="M1095" s="2" t="str">
        <f t="shared" si="111"/>
        <v>Normal</v>
      </c>
      <c r="N1095" s="2" t="str">
        <f t="shared" si="112"/>
        <v>No</v>
      </c>
    </row>
    <row r="1096" spans="1:14" x14ac:dyDescent="0.25">
      <c r="A1096" s="3">
        <v>45086</v>
      </c>
      <c r="B1096" s="4">
        <v>2023</v>
      </c>
      <c r="C1096" s="5">
        <v>1985</v>
      </c>
      <c r="D1096" s="5">
        <v>1995</v>
      </c>
      <c r="E1096" s="5">
        <v>1970</v>
      </c>
      <c r="F1096" s="5">
        <v>1975</v>
      </c>
      <c r="G1096" s="5">
        <v>1667.09</v>
      </c>
      <c r="H1096" s="6">
        <v>24991800</v>
      </c>
      <c r="I1096" s="22" t="str">
        <f t="shared" si="113"/>
        <v>-</v>
      </c>
      <c r="J1096" s="7">
        <f t="shared" si="114"/>
        <v>-0.50377833753148615</v>
      </c>
      <c r="K1096" s="7">
        <f t="shared" si="115"/>
        <v>-30.816248567426463</v>
      </c>
      <c r="L1096" s="2" t="str">
        <f t="shared" si="110"/>
        <v>Normal</v>
      </c>
      <c r="M1096" s="2" t="str">
        <f t="shared" si="111"/>
        <v>Normal</v>
      </c>
      <c r="N1096" s="2" t="str">
        <f t="shared" si="112"/>
        <v>No</v>
      </c>
    </row>
    <row r="1097" spans="1:14" x14ac:dyDescent="0.25">
      <c r="A1097" s="3">
        <v>45089</v>
      </c>
      <c r="B1097" s="4">
        <v>2023</v>
      </c>
      <c r="C1097" s="5">
        <v>1980</v>
      </c>
      <c r="D1097" s="5">
        <v>2000</v>
      </c>
      <c r="E1097" s="5">
        <v>1975</v>
      </c>
      <c r="F1097" s="5">
        <v>1995</v>
      </c>
      <c r="G1097" s="5">
        <v>1683.97</v>
      </c>
      <c r="H1097" s="6">
        <v>23090500</v>
      </c>
      <c r="I1097" s="22" t="str">
        <f t="shared" si="113"/>
        <v>+</v>
      </c>
      <c r="J1097" s="7">
        <f t="shared" si="114"/>
        <v>1.0126582278481013</v>
      </c>
      <c r="K1097" s="7">
        <f t="shared" si="115"/>
        <v>-7.6076953240662935</v>
      </c>
      <c r="L1097" s="2" t="str">
        <f t="shared" si="110"/>
        <v>Normal</v>
      </c>
      <c r="M1097" s="2" t="str">
        <f t="shared" si="111"/>
        <v>Normal</v>
      </c>
      <c r="N1097" s="2" t="str">
        <f t="shared" si="112"/>
        <v>No</v>
      </c>
    </row>
    <row r="1098" spans="1:14" x14ac:dyDescent="0.25">
      <c r="A1098" s="3">
        <v>45090</v>
      </c>
      <c r="B1098" s="4">
        <v>2023</v>
      </c>
      <c r="C1098" s="5">
        <v>1995</v>
      </c>
      <c r="D1098" s="5">
        <v>2020</v>
      </c>
      <c r="E1098" s="5">
        <v>1980</v>
      </c>
      <c r="F1098" s="5">
        <v>2010</v>
      </c>
      <c r="G1098" s="5">
        <v>1696.63</v>
      </c>
      <c r="H1098" s="6">
        <v>27907100</v>
      </c>
      <c r="I1098" s="22" t="str">
        <f t="shared" si="113"/>
        <v>+</v>
      </c>
      <c r="J1098" s="7">
        <f t="shared" si="114"/>
        <v>0.75187969924812026</v>
      </c>
      <c r="K1098" s="7">
        <f t="shared" si="115"/>
        <v>20.859660899504124</v>
      </c>
      <c r="L1098" s="2" t="str">
        <f t="shared" si="110"/>
        <v>Normal</v>
      </c>
      <c r="M1098" s="2" t="str">
        <f t="shared" si="111"/>
        <v>Normal</v>
      </c>
      <c r="N1098" s="2" t="str">
        <f t="shared" si="112"/>
        <v>No</v>
      </c>
    </row>
    <row r="1099" spans="1:14" x14ac:dyDescent="0.25">
      <c r="A1099" s="3">
        <v>45091</v>
      </c>
      <c r="B1099" s="4">
        <v>2023</v>
      </c>
      <c r="C1099" s="5">
        <v>2040</v>
      </c>
      <c r="D1099" s="5">
        <v>2050</v>
      </c>
      <c r="E1099" s="5">
        <v>2010</v>
      </c>
      <c r="F1099" s="5">
        <v>2030</v>
      </c>
      <c r="G1099" s="5">
        <v>1713.51</v>
      </c>
      <c r="H1099" s="6">
        <v>54535600</v>
      </c>
      <c r="I1099" s="22" t="str">
        <f t="shared" si="113"/>
        <v>+</v>
      </c>
      <c r="J1099" s="7">
        <f t="shared" si="114"/>
        <v>0.99502487562189057</v>
      </c>
      <c r="K1099" s="7">
        <f t="shared" si="115"/>
        <v>95.418370235531455</v>
      </c>
      <c r="L1099" s="2" t="str">
        <f t="shared" si="110"/>
        <v>Normal</v>
      </c>
      <c r="M1099" s="2" t="str">
        <f t="shared" si="111"/>
        <v>Normal</v>
      </c>
      <c r="N1099" s="2" t="str">
        <f t="shared" si="112"/>
        <v>No</v>
      </c>
    </row>
    <row r="1100" spans="1:14" x14ac:dyDescent="0.25">
      <c r="A1100" s="3">
        <v>45092</v>
      </c>
      <c r="B1100" s="4">
        <v>2023</v>
      </c>
      <c r="C1100" s="5">
        <v>2040</v>
      </c>
      <c r="D1100" s="5">
        <v>2050</v>
      </c>
      <c r="E1100" s="5">
        <v>2010</v>
      </c>
      <c r="F1100" s="5">
        <v>2040</v>
      </c>
      <c r="G1100" s="5">
        <v>1721.95</v>
      </c>
      <c r="H1100" s="6">
        <v>44386500</v>
      </c>
      <c r="I1100" s="22" t="str">
        <f t="shared" si="113"/>
        <v>+</v>
      </c>
      <c r="J1100" s="7">
        <f t="shared" si="114"/>
        <v>0.49261083743842365</v>
      </c>
      <c r="K1100" s="7">
        <f t="shared" si="115"/>
        <v>-18.610045548229046</v>
      </c>
      <c r="L1100" s="2" t="str">
        <f t="shared" si="110"/>
        <v>Normal</v>
      </c>
      <c r="M1100" s="2" t="str">
        <f t="shared" si="111"/>
        <v>Normal</v>
      </c>
      <c r="N1100" s="2" t="str">
        <f t="shared" si="112"/>
        <v>No</v>
      </c>
    </row>
    <row r="1101" spans="1:14" x14ac:dyDescent="0.25">
      <c r="A1101" s="3">
        <v>45093</v>
      </c>
      <c r="B1101" s="4">
        <v>2023</v>
      </c>
      <c r="C1101" s="5">
        <v>2060</v>
      </c>
      <c r="D1101" s="5">
        <v>2060</v>
      </c>
      <c r="E1101" s="5">
        <v>2020</v>
      </c>
      <c r="F1101" s="5">
        <v>2060</v>
      </c>
      <c r="G1101" s="5">
        <v>1738.84</v>
      </c>
      <c r="H1101" s="6">
        <v>34334100</v>
      </c>
      <c r="I1101" s="22" t="str">
        <f t="shared" si="113"/>
        <v>+</v>
      </c>
      <c r="J1101" s="7">
        <f t="shared" si="114"/>
        <v>0.98039215686274506</v>
      </c>
      <c r="K1101" s="7">
        <f t="shared" si="115"/>
        <v>-22.647426582406812</v>
      </c>
      <c r="L1101" s="2" t="str">
        <f t="shared" si="110"/>
        <v>Normal</v>
      </c>
      <c r="M1101" s="2" t="str">
        <f t="shared" si="111"/>
        <v>Normal</v>
      </c>
      <c r="N1101" s="2" t="str">
        <f t="shared" si="112"/>
        <v>No</v>
      </c>
    </row>
    <row r="1102" spans="1:14" x14ac:dyDescent="0.25">
      <c r="A1102" s="3">
        <v>45096</v>
      </c>
      <c r="B1102" s="4">
        <v>2023</v>
      </c>
      <c r="C1102" s="5">
        <v>2060</v>
      </c>
      <c r="D1102" s="5">
        <v>2060</v>
      </c>
      <c r="E1102" s="5">
        <v>2020</v>
      </c>
      <c r="F1102" s="5">
        <v>2030</v>
      </c>
      <c r="G1102" s="5">
        <v>1713.51</v>
      </c>
      <c r="H1102" s="6">
        <v>11742200</v>
      </c>
      <c r="I1102" s="22" t="str">
        <f t="shared" si="113"/>
        <v>-</v>
      </c>
      <c r="J1102" s="7">
        <f t="shared" si="114"/>
        <v>-1.4563106796116505</v>
      </c>
      <c r="K1102" s="7">
        <f t="shared" si="115"/>
        <v>-65.800181161003195</v>
      </c>
      <c r="L1102" s="2" t="str">
        <f t="shared" si="110"/>
        <v>Normal</v>
      </c>
      <c r="M1102" s="2" t="str">
        <f t="shared" si="111"/>
        <v>Sharp Volume Decrease</v>
      </c>
      <c r="N1102" s="2" t="str">
        <f t="shared" si="112"/>
        <v>No</v>
      </c>
    </row>
    <row r="1103" spans="1:14" x14ac:dyDescent="0.25">
      <c r="A1103" s="3">
        <v>45097</v>
      </c>
      <c r="B1103" s="4">
        <v>2023</v>
      </c>
      <c r="C1103" s="5">
        <v>2030</v>
      </c>
      <c r="D1103" s="5">
        <v>2040</v>
      </c>
      <c r="E1103" s="5">
        <v>2010</v>
      </c>
      <c r="F1103" s="5">
        <v>2020</v>
      </c>
      <c r="G1103" s="5">
        <v>1705.07</v>
      </c>
      <c r="H1103" s="6">
        <v>16397800</v>
      </c>
      <c r="I1103" s="22" t="str">
        <f t="shared" si="113"/>
        <v>-</v>
      </c>
      <c r="J1103" s="7">
        <f t="shared" si="114"/>
        <v>-0.49261083743842365</v>
      </c>
      <c r="K1103" s="7">
        <f t="shared" si="115"/>
        <v>39.648447480029297</v>
      </c>
      <c r="L1103" s="2" t="str">
        <f t="shared" si="110"/>
        <v>Normal</v>
      </c>
      <c r="M1103" s="2" t="str">
        <f t="shared" si="111"/>
        <v>Normal</v>
      </c>
      <c r="N1103" s="2" t="str">
        <f t="shared" si="112"/>
        <v>No</v>
      </c>
    </row>
    <row r="1104" spans="1:14" x14ac:dyDescent="0.25">
      <c r="A1104" s="3">
        <v>45098</v>
      </c>
      <c r="B1104" s="4">
        <v>2023</v>
      </c>
      <c r="C1104" s="5">
        <v>2010</v>
      </c>
      <c r="D1104" s="5">
        <v>2030</v>
      </c>
      <c r="E1104" s="5">
        <v>2000</v>
      </c>
      <c r="F1104" s="5">
        <v>2010</v>
      </c>
      <c r="G1104" s="5">
        <v>1696.63</v>
      </c>
      <c r="H1104" s="6">
        <v>19148800</v>
      </c>
      <c r="I1104" s="22" t="str">
        <f t="shared" si="113"/>
        <v>-</v>
      </c>
      <c r="J1104" s="7">
        <f t="shared" si="114"/>
        <v>-0.49504950495049505</v>
      </c>
      <c r="K1104" s="7">
        <f t="shared" si="115"/>
        <v>16.776640768883631</v>
      </c>
      <c r="L1104" s="2" t="str">
        <f t="shared" si="110"/>
        <v>Normal</v>
      </c>
      <c r="M1104" s="2" t="str">
        <f t="shared" si="111"/>
        <v>Normal</v>
      </c>
      <c r="N1104" s="2" t="str">
        <f t="shared" si="112"/>
        <v>No</v>
      </c>
    </row>
    <row r="1105" spans="1:14" x14ac:dyDescent="0.25">
      <c r="A1105" s="3">
        <v>45099</v>
      </c>
      <c r="B1105" s="4">
        <v>2023</v>
      </c>
      <c r="C1105" s="5">
        <v>2010</v>
      </c>
      <c r="D1105" s="5">
        <v>2060</v>
      </c>
      <c r="E1105" s="5">
        <v>2010</v>
      </c>
      <c r="F1105" s="5">
        <v>2010</v>
      </c>
      <c r="G1105" s="5">
        <v>1696.63</v>
      </c>
      <c r="H1105" s="6">
        <v>40103700</v>
      </c>
      <c r="I1105" s="22" t="str">
        <f t="shared" si="113"/>
        <v>0</v>
      </c>
      <c r="J1105" s="7">
        <f t="shared" si="114"/>
        <v>0</v>
      </c>
      <c r="K1105" s="7">
        <f t="shared" si="115"/>
        <v>109.43192262700533</v>
      </c>
      <c r="L1105" s="2" t="str">
        <f t="shared" si="110"/>
        <v>Normal</v>
      </c>
      <c r="M1105" s="2" t="str">
        <f t="shared" si="111"/>
        <v>Normal</v>
      </c>
      <c r="N1105" s="2" t="str">
        <f t="shared" si="112"/>
        <v>No</v>
      </c>
    </row>
    <row r="1106" spans="1:14" x14ac:dyDescent="0.25">
      <c r="A1106" s="3">
        <v>45100</v>
      </c>
      <c r="B1106" s="4">
        <v>2023</v>
      </c>
      <c r="C1106" s="5">
        <v>2020</v>
      </c>
      <c r="D1106" s="5">
        <v>2030</v>
      </c>
      <c r="E1106" s="5">
        <v>2000</v>
      </c>
      <c r="F1106" s="5">
        <v>2010</v>
      </c>
      <c r="G1106" s="5">
        <v>1696.63</v>
      </c>
      <c r="H1106" s="6">
        <v>30401200</v>
      </c>
      <c r="I1106" s="22" t="str">
        <f t="shared" si="113"/>
        <v>0</v>
      </c>
      <c r="J1106" s="7">
        <f t="shared" si="114"/>
        <v>0</v>
      </c>
      <c r="K1106" s="7">
        <f t="shared" si="115"/>
        <v>-24.193528277939443</v>
      </c>
      <c r="L1106" s="2" t="str">
        <f t="shared" si="110"/>
        <v>Normal</v>
      </c>
      <c r="M1106" s="2" t="str">
        <f t="shared" si="111"/>
        <v>Normal</v>
      </c>
      <c r="N1106" s="2" t="str">
        <f t="shared" si="112"/>
        <v>No</v>
      </c>
    </row>
    <row r="1107" spans="1:14" x14ac:dyDescent="0.25">
      <c r="A1107" s="3">
        <v>45103</v>
      </c>
      <c r="B1107" s="4">
        <v>2023</v>
      </c>
      <c r="C1107" s="5">
        <v>1950</v>
      </c>
      <c r="D1107" s="5">
        <v>1975</v>
      </c>
      <c r="E1107" s="5">
        <v>1935</v>
      </c>
      <c r="F1107" s="5">
        <v>1950</v>
      </c>
      <c r="G1107" s="5">
        <v>1713.77</v>
      </c>
      <c r="H1107" s="6">
        <v>42017600</v>
      </c>
      <c r="I1107" s="22" t="str">
        <f t="shared" si="113"/>
        <v>-</v>
      </c>
      <c r="J1107" s="7">
        <f t="shared" si="114"/>
        <v>-2.9850746268656714</v>
      </c>
      <c r="K1107" s="7">
        <f t="shared" si="115"/>
        <v>38.210333802613057</v>
      </c>
      <c r="L1107" s="2" t="str">
        <f t="shared" si="110"/>
        <v>Normal</v>
      </c>
      <c r="M1107" s="2" t="str">
        <f t="shared" si="111"/>
        <v>Normal</v>
      </c>
      <c r="N1107" s="2" t="str">
        <f t="shared" si="112"/>
        <v>No</v>
      </c>
    </row>
    <row r="1108" spans="1:14" x14ac:dyDescent="0.25">
      <c r="A1108" s="3">
        <v>45104</v>
      </c>
      <c r="B1108" s="4">
        <v>2023</v>
      </c>
      <c r="C1108" s="5">
        <v>1955</v>
      </c>
      <c r="D1108" s="5">
        <v>1965</v>
      </c>
      <c r="E1108" s="5">
        <v>1950</v>
      </c>
      <c r="F1108" s="5">
        <v>1950</v>
      </c>
      <c r="G1108" s="5">
        <v>1713.77</v>
      </c>
      <c r="H1108" s="6">
        <v>18194100</v>
      </c>
      <c r="I1108" s="22" t="str">
        <f t="shared" si="113"/>
        <v>0</v>
      </c>
      <c r="J1108" s="7">
        <f t="shared" si="114"/>
        <v>0</v>
      </c>
      <c r="K1108" s="7">
        <f t="shared" si="115"/>
        <v>-56.69885952553215</v>
      </c>
      <c r="L1108" s="2" t="str">
        <f t="shared" si="110"/>
        <v>Normal</v>
      </c>
      <c r="M1108" s="2" t="str">
        <f t="shared" si="111"/>
        <v>Normal</v>
      </c>
      <c r="N1108" s="2" t="str">
        <f t="shared" si="112"/>
        <v>No</v>
      </c>
    </row>
    <row r="1109" spans="1:14" x14ac:dyDescent="0.25">
      <c r="A1109" s="3">
        <v>45110</v>
      </c>
      <c r="B1109" s="4">
        <v>2023</v>
      </c>
      <c r="C1109" s="5">
        <v>1955</v>
      </c>
      <c r="D1109" s="5">
        <v>1990</v>
      </c>
      <c r="E1109" s="5">
        <v>1955</v>
      </c>
      <c r="F1109" s="5">
        <v>1965</v>
      </c>
      <c r="G1109" s="5">
        <v>1726.95</v>
      </c>
      <c r="H1109" s="6">
        <v>20374900</v>
      </c>
      <c r="I1109" s="22" t="str">
        <f t="shared" si="113"/>
        <v>+</v>
      </c>
      <c r="J1109" s="7">
        <f t="shared" si="114"/>
        <v>0.76923076923076927</v>
      </c>
      <c r="K1109" s="7">
        <f t="shared" si="115"/>
        <v>11.986303252153171</v>
      </c>
      <c r="L1109" s="2" t="str">
        <f t="shared" si="110"/>
        <v>Normal</v>
      </c>
      <c r="M1109" s="2" t="str">
        <f t="shared" si="111"/>
        <v>Normal</v>
      </c>
      <c r="N1109" s="2" t="str">
        <f t="shared" si="112"/>
        <v>No</v>
      </c>
    </row>
    <row r="1110" spans="1:14" x14ac:dyDescent="0.25">
      <c r="A1110" s="3">
        <v>45111</v>
      </c>
      <c r="B1110" s="4">
        <v>2023</v>
      </c>
      <c r="C1110" s="5">
        <v>1970</v>
      </c>
      <c r="D1110" s="5">
        <v>1980</v>
      </c>
      <c r="E1110" s="5">
        <v>1960</v>
      </c>
      <c r="F1110" s="5">
        <v>1970</v>
      </c>
      <c r="G1110" s="5">
        <v>1731.35</v>
      </c>
      <c r="H1110" s="6">
        <v>16313500</v>
      </c>
      <c r="I1110" s="22" t="str">
        <f t="shared" si="113"/>
        <v>+</v>
      </c>
      <c r="J1110" s="7">
        <f t="shared" si="114"/>
        <v>0.2544529262086514</v>
      </c>
      <c r="K1110" s="7">
        <f t="shared" si="115"/>
        <v>-19.933349366131857</v>
      </c>
      <c r="L1110" s="2" t="str">
        <f t="shared" si="110"/>
        <v>Normal</v>
      </c>
      <c r="M1110" s="2" t="str">
        <f t="shared" si="111"/>
        <v>Normal</v>
      </c>
      <c r="N1110" s="2" t="str">
        <f t="shared" si="112"/>
        <v>No</v>
      </c>
    </row>
    <row r="1111" spans="1:14" x14ac:dyDescent="0.25">
      <c r="A1111" s="3">
        <v>45112</v>
      </c>
      <c r="B1111" s="4">
        <v>2023</v>
      </c>
      <c r="C1111" s="5">
        <v>1970</v>
      </c>
      <c r="D1111" s="5">
        <v>1990</v>
      </c>
      <c r="E1111" s="5">
        <v>1960</v>
      </c>
      <c r="F1111" s="5">
        <v>1985</v>
      </c>
      <c r="G1111" s="5">
        <v>1744.53</v>
      </c>
      <c r="H1111" s="6">
        <v>35622000</v>
      </c>
      <c r="I1111" s="22" t="str">
        <f t="shared" si="113"/>
        <v>+</v>
      </c>
      <c r="J1111" s="7">
        <f t="shared" si="114"/>
        <v>0.76142131979695438</v>
      </c>
      <c r="K1111" s="7">
        <f t="shared" si="115"/>
        <v>118.35902779906213</v>
      </c>
      <c r="L1111" s="2" t="str">
        <f t="shared" si="110"/>
        <v>Normal</v>
      </c>
      <c r="M1111" s="2" t="str">
        <f t="shared" si="111"/>
        <v>Normal</v>
      </c>
      <c r="N1111" s="2" t="str">
        <f t="shared" si="112"/>
        <v>No</v>
      </c>
    </row>
    <row r="1112" spans="1:14" x14ac:dyDescent="0.25">
      <c r="A1112" s="3">
        <v>45113</v>
      </c>
      <c r="B1112" s="4">
        <v>2023</v>
      </c>
      <c r="C1112" s="5">
        <v>1995</v>
      </c>
      <c r="D1112" s="5">
        <v>2050</v>
      </c>
      <c r="E1112" s="5">
        <v>1990</v>
      </c>
      <c r="F1112" s="5">
        <v>2020</v>
      </c>
      <c r="G1112" s="5">
        <v>1775.29</v>
      </c>
      <c r="H1112" s="6">
        <v>88546800</v>
      </c>
      <c r="I1112" s="22" t="str">
        <f t="shared" si="113"/>
        <v>+</v>
      </c>
      <c r="J1112" s="7">
        <f t="shared" si="114"/>
        <v>1.7632241813602016</v>
      </c>
      <c r="K1112" s="7">
        <f t="shared" si="115"/>
        <v>148.57335354556173</v>
      </c>
      <c r="L1112" s="2" t="str">
        <f t="shared" si="110"/>
        <v>Normal</v>
      </c>
      <c r="M1112" s="2" t="str">
        <f t="shared" si="111"/>
        <v>Normal</v>
      </c>
      <c r="N1112" s="2" t="str">
        <f t="shared" si="112"/>
        <v>No</v>
      </c>
    </row>
    <row r="1113" spans="1:14" x14ac:dyDescent="0.25">
      <c r="A1113" s="3">
        <v>45114</v>
      </c>
      <c r="B1113" s="4">
        <v>2023</v>
      </c>
      <c r="C1113" s="5">
        <v>2020</v>
      </c>
      <c r="D1113" s="5">
        <v>2020</v>
      </c>
      <c r="E1113" s="5">
        <v>1975</v>
      </c>
      <c r="F1113" s="5">
        <v>1975</v>
      </c>
      <c r="G1113" s="5">
        <v>1735.74</v>
      </c>
      <c r="H1113" s="6">
        <v>40420700</v>
      </c>
      <c r="I1113" s="22" t="str">
        <f t="shared" si="113"/>
        <v>-</v>
      </c>
      <c r="J1113" s="7">
        <f t="shared" si="114"/>
        <v>-2.2277227722772275</v>
      </c>
      <c r="K1113" s="7">
        <f t="shared" si="115"/>
        <v>-54.35103244837758</v>
      </c>
      <c r="L1113" s="2" t="str">
        <f t="shared" si="110"/>
        <v>Normal</v>
      </c>
      <c r="M1113" s="2" t="str">
        <f t="shared" si="111"/>
        <v>Normal</v>
      </c>
      <c r="N1113" s="2" t="str">
        <f t="shared" si="112"/>
        <v>No</v>
      </c>
    </row>
    <row r="1114" spans="1:14" x14ac:dyDescent="0.25">
      <c r="A1114" s="3">
        <v>45117</v>
      </c>
      <c r="B1114" s="4">
        <v>2023</v>
      </c>
      <c r="C1114" s="5">
        <v>1985</v>
      </c>
      <c r="D1114" s="5">
        <v>1995</v>
      </c>
      <c r="E1114" s="5">
        <v>1980</v>
      </c>
      <c r="F1114" s="5">
        <v>1980</v>
      </c>
      <c r="G1114" s="5">
        <v>1740.14</v>
      </c>
      <c r="H1114" s="6">
        <v>14134300</v>
      </c>
      <c r="I1114" s="22" t="str">
        <f t="shared" si="113"/>
        <v>+</v>
      </c>
      <c r="J1114" s="7">
        <f t="shared" si="114"/>
        <v>0.25316455696202533</v>
      </c>
      <c r="K1114" s="7">
        <f t="shared" si="115"/>
        <v>-65.032025670015614</v>
      </c>
      <c r="L1114" s="2" t="str">
        <f t="shared" si="110"/>
        <v>Normal</v>
      </c>
      <c r="M1114" s="2" t="str">
        <f t="shared" si="111"/>
        <v>Sharp Volume Decrease</v>
      </c>
      <c r="N1114" s="2" t="str">
        <f t="shared" si="112"/>
        <v>No</v>
      </c>
    </row>
    <row r="1115" spans="1:14" x14ac:dyDescent="0.25">
      <c r="A1115" s="3">
        <v>45118</v>
      </c>
      <c r="B1115" s="4">
        <v>2023</v>
      </c>
      <c r="C1115" s="5">
        <v>1985</v>
      </c>
      <c r="D1115" s="5">
        <v>2000</v>
      </c>
      <c r="E1115" s="5">
        <v>1980</v>
      </c>
      <c r="F1115" s="5">
        <v>2000</v>
      </c>
      <c r="G1115" s="5">
        <v>1757.71</v>
      </c>
      <c r="H1115" s="6">
        <v>19295300</v>
      </c>
      <c r="I1115" s="22" t="str">
        <f t="shared" si="113"/>
        <v>+</v>
      </c>
      <c r="J1115" s="7">
        <f t="shared" si="114"/>
        <v>1.0101010101010102</v>
      </c>
      <c r="K1115" s="7">
        <f t="shared" si="115"/>
        <v>36.514012013329278</v>
      </c>
      <c r="L1115" s="2" t="str">
        <f t="shared" si="110"/>
        <v>Normal</v>
      </c>
      <c r="M1115" s="2" t="str">
        <f t="shared" si="111"/>
        <v>Normal</v>
      </c>
      <c r="N1115" s="2" t="str">
        <f t="shared" si="112"/>
        <v>No</v>
      </c>
    </row>
    <row r="1116" spans="1:14" x14ac:dyDescent="0.25">
      <c r="A1116" s="3">
        <v>45119</v>
      </c>
      <c r="B1116" s="4">
        <v>2023</v>
      </c>
      <c r="C1116" s="5">
        <v>2010</v>
      </c>
      <c r="D1116" s="5">
        <v>2010</v>
      </c>
      <c r="E1116" s="5">
        <v>1990</v>
      </c>
      <c r="F1116" s="5">
        <v>1990</v>
      </c>
      <c r="G1116" s="5">
        <v>1748.93</v>
      </c>
      <c r="H1116" s="6">
        <v>21168800</v>
      </c>
      <c r="I1116" s="22" t="str">
        <f t="shared" si="113"/>
        <v>-</v>
      </c>
      <c r="J1116" s="7">
        <f t="shared" si="114"/>
        <v>-0.5</v>
      </c>
      <c r="K1116" s="7">
        <f t="shared" si="115"/>
        <v>9.7096184044819207</v>
      </c>
      <c r="L1116" s="2" t="str">
        <f t="shared" si="110"/>
        <v>Normal</v>
      </c>
      <c r="M1116" s="2" t="str">
        <f t="shared" si="111"/>
        <v>Normal</v>
      </c>
      <c r="N1116" s="2" t="str">
        <f t="shared" si="112"/>
        <v>No</v>
      </c>
    </row>
    <row r="1117" spans="1:14" x14ac:dyDescent="0.25">
      <c r="A1117" s="3">
        <v>45120</v>
      </c>
      <c r="B1117" s="4">
        <v>2023</v>
      </c>
      <c r="C1117" s="5">
        <v>2010</v>
      </c>
      <c r="D1117" s="5">
        <v>2030</v>
      </c>
      <c r="E1117" s="5">
        <v>1990</v>
      </c>
      <c r="F1117" s="5">
        <v>1990</v>
      </c>
      <c r="G1117" s="5">
        <v>1748.93</v>
      </c>
      <c r="H1117" s="6">
        <v>36336200</v>
      </c>
      <c r="I1117" s="22" t="str">
        <f t="shared" si="113"/>
        <v>0</v>
      </c>
      <c r="J1117" s="7">
        <f t="shared" si="114"/>
        <v>0</v>
      </c>
      <c r="K1117" s="7">
        <f t="shared" si="115"/>
        <v>71.649786478213215</v>
      </c>
      <c r="L1117" s="2" t="str">
        <f t="shared" si="110"/>
        <v>Normal</v>
      </c>
      <c r="M1117" s="2" t="str">
        <f t="shared" si="111"/>
        <v>Normal</v>
      </c>
      <c r="N1117" s="2" t="str">
        <f t="shared" si="112"/>
        <v>No</v>
      </c>
    </row>
    <row r="1118" spans="1:14" x14ac:dyDescent="0.25">
      <c r="A1118" s="3">
        <v>45121</v>
      </c>
      <c r="B1118" s="4">
        <v>2023</v>
      </c>
      <c r="C1118" s="5">
        <v>1995</v>
      </c>
      <c r="D1118" s="5">
        <v>2020</v>
      </c>
      <c r="E1118" s="5">
        <v>1995</v>
      </c>
      <c r="F1118" s="5">
        <v>2000</v>
      </c>
      <c r="G1118" s="5">
        <v>1757.71</v>
      </c>
      <c r="H1118" s="6">
        <v>21060000</v>
      </c>
      <c r="I1118" s="22" t="str">
        <f t="shared" si="113"/>
        <v>+</v>
      </c>
      <c r="J1118" s="7">
        <f t="shared" si="114"/>
        <v>0.50251256281407031</v>
      </c>
      <c r="K1118" s="7">
        <f t="shared" si="115"/>
        <v>-42.041270138319362</v>
      </c>
      <c r="L1118" s="2" t="str">
        <f t="shared" si="110"/>
        <v>Normal</v>
      </c>
      <c r="M1118" s="2" t="str">
        <f t="shared" si="111"/>
        <v>Normal</v>
      </c>
      <c r="N1118" s="2" t="str">
        <f t="shared" si="112"/>
        <v>No</v>
      </c>
    </row>
    <row r="1119" spans="1:14" x14ac:dyDescent="0.25">
      <c r="A1119" s="3">
        <v>45124</v>
      </c>
      <c r="B1119" s="4">
        <v>2023</v>
      </c>
      <c r="C1119" s="5">
        <v>2010</v>
      </c>
      <c r="D1119" s="5">
        <v>2020</v>
      </c>
      <c r="E1119" s="5">
        <v>1990</v>
      </c>
      <c r="F1119" s="5">
        <v>1990</v>
      </c>
      <c r="G1119" s="5">
        <v>1748.93</v>
      </c>
      <c r="H1119" s="6">
        <v>21903600</v>
      </c>
      <c r="I1119" s="22" t="str">
        <f t="shared" si="113"/>
        <v>-</v>
      </c>
      <c r="J1119" s="7">
        <f t="shared" si="114"/>
        <v>-0.5</v>
      </c>
      <c r="K1119" s="7">
        <f t="shared" si="115"/>
        <v>4.0056980056980063</v>
      </c>
      <c r="L1119" s="2" t="str">
        <f t="shared" si="110"/>
        <v>Normal</v>
      </c>
      <c r="M1119" s="2" t="str">
        <f t="shared" si="111"/>
        <v>Normal</v>
      </c>
      <c r="N1119" s="2" t="str">
        <f t="shared" si="112"/>
        <v>No</v>
      </c>
    </row>
    <row r="1120" spans="1:14" x14ac:dyDescent="0.25">
      <c r="A1120" s="3">
        <v>45125</v>
      </c>
      <c r="B1120" s="4">
        <v>2023</v>
      </c>
      <c r="C1120" s="5">
        <v>2000</v>
      </c>
      <c r="D1120" s="5">
        <v>2010</v>
      </c>
      <c r="E1120" s="5">
        <v>1975</v>
      </c>
      <c r="F1120" s="5">
        <v>1990</v>
      </c>
      <c r="G1120" s="5">
        <v>1748.93</v>
      </c>
      <c r="H1120" s="6">
        <v>25067900</v>
      </c>
      <c r="I1120" s="22" t="str">
        <f t="shared" si="113"/>
        <v>0</v>
      </c>
      <c r="J1120" s="7">
        <f t="shared" si="114"/>
        <v>0</v>
      </c>
      <c r="K1120" s="7">
        <f t="shared" si="115"/>
        <v>14.446483683047537</v>
      </c>
      <c r="L1120" s="2" t="str">
        <f t="shared" si="110"/>
        <v>Normal</v>
      </c>
      <c r="M1120" s="2" t="str">
        <f t="shared" si="111"/>
        <v>Normal</v>
      </c>
      <c r="N1120" s="2" t="str">
        <f t="shared" si="112"/>
        <v>No</v>
      </c>
    </row>
    <row r="1121" spans="1:14" x14ac:dyDescent="0.25">
      <c r="A1121" s="3">
        <v>45127</v>
      </c>
      <c r="B1121" s="4">
        <v>2023</v>
      </c>
      <c r="C1121" s="5">
        <v>2000</v>
      </c>
      <c r="D1121" s="5">
        <v>2010</v>
      </c>
      <c r="E1121" s="5">
        <v>1980</v>
      </c>
      <c r="F1121" s="5">
        <v>1990</v>
      </c>
      <c r="G1121" s="5">
        <v>1748.93</v>
      </c>
      <c r="H1121" s="6">
        <v>31137300</v>
      </c>
      <c r="I1121" s="22" t="str">
        <f t="shared" si="113"/>
        <v>0</v>
      </c>
      <c r="J1121" s="7">
        <f t="shared" si="114"/>
        <v>0</v>
      </c>
      <c r="K1121" s="7">
        <f t="shared" si="115"/>
        <v>24.211840640819535</v>
      </c>
      <c r="L1121" s="2" t="str">
        <f t="shared" si="110"/>
        <v>Normal</v>
      </c>
      <c r="M1121" s="2" t="str">
        <f t="shared" si="111"/>
        <v>Normal</v>
      </c>
      <c r="N1121" s="2" t="str">
        <f t="shared" si="112"/>
        <v>No</v>
      </c>
    </row>
    <row r="1122" spans="1:14" x14ac:dyDescent="0.25">
      <c r="A1122" s="3">
        <v>45128</v>
      </c>
      <c r="B1122" s="4">
        <v>2023</v>
      </c>
      <c r="C1122" s="5">
        <v>2000</v>
      </c>
      <c r="D1122" s="5">
        <v>2000</v>
      </c>
      <c r="E1122" s="5">
        <v>1975</v>
      </c>
      <c r="F1122" s="5">
        <v>1975</v>
      </c>
      <c r="G1122" s="5">
        <v>1735.74</v>
      </c>
      <c r="H1122" s="6">
        <v>30200700</v>
      </c>
      <c r="I1122" s="22" t="str">
        <f t="shared" si="113"/>
        <v>-</v>
      </c>
      <c r="J1122" s="7">
        <f t="shared" si="114"/>
        <v>-0.75376884422110546</v>
      </c>
      <c r="K1122" s="7">
        <f t="shared" si="115"/>
        <v>-3.0079679355628137</v>
      </c>
      <c r="L1122" s="2" t="str">
        <f t="shared" si="110"/>
        <v>Normal</v>
      </c>
      <c r="M1122" s="2" t="str">
        <f t="shared" si="111"/>
        <v>Normal</v>
      </c>
      <c r="N1122" s="2" t="str">
        <f t="shared" si="112"/>
        <v>No</v>
      </c>
    </row>
    <row r="1123" spans="1:14" x14ac:dyDescent="0.25">
      <c r="A1123" s="3">
        <v>45131</v>
      </c>
      <c r="B1123" s="4">
        <v>2023</v>
      </c>
      <c r="C1123" s="5">
        <v>1975</v>
      </c>
      <c r="D1123" s="5">
        <v>1990</v>
      </c>
      <c r="E1123" s="5">
        <v>1975</v>
      </c>
      <c r="F1123" s="5">
        <v>1975</v>
      </c>
      <c r="G1123" s="5">
        <v>1735.74</v>
      </c>
      <c r="H1123" s="6">
        <v>19326300</v>
      </c>
      <c r="I1123" s="22" t="str">
        <f t="shared" si="113"/>
        <v>0</v>
      </c>
      <c r="J1123" s="7">
        <f t="shared" si="114"/>
        <v>0</v>
      </c>
      <c r="K1123" s="7">
        <f t="shared" si="115"/>
        <v>-36.007112417924084</v>
      </c>
      <c r="L1123" s="2" t="str">
        <f t="shared" si="110"/>
        <v>Normal</v>
      </c>
      <c r="M1123" s="2" t="str">
        <f t="shared" si="111"/>
        <v>Normal</v>
      </c>
      <c r="N1123" s="2" t="str">
        <f t="shared" si="112"/>
        <v>No</v>
      </c>
    </row>
    <row r="1124" spans="1:14" x14ac:dyDescent="0.25">
      <c r="A1124" s="3">
        <v>45132</v>
      </c>
      <c r="B1124" s="4">
        <v>2023</v>
      </c>
      <c r="C1124" s="5">
        <v>1985</v>
      </c>
      <c r="D1124" s="5">
        <v>2000</v>
      </c>
      <c r="E1124" s="5">
        <v>1975</v>
      </c>
      <c r="F1124" s="5">
        <v>1975</v>
      </c>
      <c r="G1124" s="5">
        <v>1735.74</v>
      </c>
      <c r="H1124" s="6">
        <v>25532000</v>
      </c>
      <c r="I1124" s="22" t="str">
        <f t="shared" si="113"/>
        <v>0</v>
      </c>
      <c r="J1124" s="7">
        <f t="shared" si="114"/>
        <v>0</v>
      </c>
      <c r="K1124" s="7">
        <f t="shared" si="115"/>
        <v>32.110129719604892</v>
      </c>
      <c r="L1124" s="2" t="str">
        <f t="shared" si="110"/>
        <v>Normal</v>
      </c>
      <c r="M1124" s="2" t="str">
        <f t="shared" si="111"/>
        <v>Normal</v>
      </c>
      <c r="N1124" s="2" t="str">
        <f t="shared" si="112"/>
        <v>No</v>
      </c>
    </row>
    <row r="1125" spans="1:14" x14ac:dyDescent="0.25">
      <c r="A1125" s="3">
        <v>45133</v>
      </c>
      <c r="B1125" s="4">
        <v>2023</v>
      </c>
      <c r="C1125" s="5">
        <v>1995</v>
      </c>
      <c r="D1125" s="5">
        <v>2010</v>
      </c>
      <c r="E1125" s="5">
        <v>1980</v>
      </c>
      <c r="F1125" s="5">
        <v>1985</v>
      </c>
      <c r="G1125" s="5">
        <v>1744.53</v>
      </c>
      <c r="H1125" s="6">
        <v>35649600</v>
      </c>
      <c r="I1125" s="22" t="str">
        <f t="shared" si="113"/>
        <v>+</v>
      </c>
      <c r="J1125" s="7">
        <f t="shared" si="114"/>
        <v>0.50632911392405067</v>
      </c>
      <c r="K1125" s="7">
        <f t="shared" si="115"/>
        <v>39.627134576218083</v>
      </c>
      <c r="L1125" s="2" t="str">
        <f t="shared" si="110"/>
        <v>Normal</v>
      </c>
      <c r="M1125" s="2" t="str">
        <f t="shared" si="111"/>
        <v>Normal</v>
      </c>
      <c r="N1125" s="2" t="str">
        <f t="shared" si="112"/>
        <v>No</v>
      </c>
    </row>
    <row r="1126" spans="1:14" x14ac:dyDescent="0.25">
      <c r="A1126" s="3">
        <v>45134</v>
      </c>
      <c r="B1126" s="4">
        <v>2023</v>
      </c>
      <c r="C1126" s="5">
        <v>1985</v>
      </c>
      <c r="D1126" s="5">
        <v>1990</v>
      </c>
      <c r="E1126" s="5">
        <v>1970</v>
      </c>
      <c r="F1126" s="5">
        <v>1970</v>
      </c>
      <c r="G1126" s="5">
        <v>1731.35</v>
      </c>
      <c r="H1126" s="6">
        <v>21145100</v>
      </c>
      <c r="I1126" s="22" t="str">
        <f t="shared" si="113"/>
        <v>-</v>
      </c>
      <c r="J1126" s="7">
        <f t="shared" si="114"/>
        <v>-0.75566750629722923</v>
      </c>
      <c r="K1126" s="7">
        <f t="shared" si="115"/>
        <v>-40.686291010277813</v>
      </c>
      <c r="L1126" s="2" t="str">
        <f t="shared" si="110"/>
        <v>Normal</v>
      </c>
      <c r="M1126" s="2" t="str">
        <f t="shared" si="111"/>
        <v>Normal</v>
      </c>
      <c r="N1126" s="2" t="str">
        <f t="shared" si="112"/>
        <v>No</v>
      </c>
    </row>
    <row r="1127" spans="1:14" x14ac:dyDescent="0.25">
      <c r="A1127" s="3">
        <v>45135</v>
      </c>
      <c r="B1127" s="4">
        <v>2023</v>
      </c>
      <c r="C1127" s="5">
        <v>1970</v>
      </c>
      <c r="D1127" s="5">
        <v>1975</v>
      </c>
      <c r="E1127" s="5">
        <v>1955</v>
      </c>
      <c r="F1127" s="5">
        <v>1960</v>
      </c>
      <c r="G1127" s="5">
        <v>1722.56</v>
      </c>
      <c r="H1127" s="6">
        <v>36810200</v>
      </c>
      <c r="I1127" s="22" t="str">
        <f t="shared" si="113"/>
        <v>-</v>
      </c>
      <c r="J1127" s="7">
        <f t="shared" si="114"/>
        <v>-0.50761421319796951</v>
      </c>
      <c r="K1127" s="7">
        <f t="shared" si="115"/>
        <v>74.083830296380725</v>
      </c>
      <c r="L1127" s="2" t="str">
        <f t="shared" si="110"/>
        <v>Normal</v>
      </c>
      <c r="M1127" s="2" t="str">
        <f t="shared" si="111"/>
        <v>Normal</v>
      </c>
      <c r="N1127" s="2" t="str">
        <f t="shared" si="112"/>
        <v>No</v>
      </c>
    </row>
    <row r="1128" spans="1:14" x14ac:dyDescent="0.25">
      <c r="A1128" s="3">
        <v>45138</v>
      </c>
      <c r="B1128" s="4">
        <v>2023</v>
      </c>
      <c r="C1128" s="5">
        <v>1965</v>
      </c>
      <c r="D1128" s="5">
        <v>1990</v>
      </c>
      <c r="E1128" s="5">
        <v>1960</v>
      </c>
      <c r="F1128" s="5">
        <v>1985</v>
      </c>
      <c r="G1128" s="5">
        <v>1744.53</v>
      </c>
      <c r="H1128" s="6">
        <v>33449700</v>
      </c>
      <c r="I1128" s="22" t="str">
        <f t="shared" si="113"/>
        <v>+</v>
      </c>
      <c r="J1128" s="7">
        <f t="shared" si="114"/>
        <v>1.2755102040816326</v>
      </c>
      <c r="K1128" s="7">
        <f t="shared" si="115"/>
        <v>-9.1292630846884819</v>
      </c>
      <c r="L1128" s="2" t="str">
        <f t="shared" si="110"/>
        <v>Normal</v>
      </c>
      <c r="M1128" s="2" t="str">
        <f t="shared" si="111"/>
        <v>Normal</v>
      </c>
      <c r="N1128" s="2" t="str">
        <f t="shared" si="112"/>
        <v>No</v>
      </c>
    </row>
    <row r="1129" spans="1:14" x14ac:dyDescent="0.25">
      <c r="A1129" s="3">
        <v>45139</v>
      </c>
      <c r="B1129" s="4">
        <v>2023</v>
      </c>
      <c r="C1129" s="5">
        <v>2000</v>
      </c>
      <c r="D1129" s="5">
        <v>2060</v>
      </c>
      <c r="E1129" s="5">
        <v>1990</v>
      </c>
      <c r="F1129" s="5">
        <v>2040</v>
      </c>
      <c r="G1129" s="5">
        <v>1792.87</v>
      </c>
      <c r="H1129" s="6">
        <v>136288500</v>
      </c>
      <c r="I1129" s="22" t="str">
        <f t="shared" si="113"/>
        <v>+</v>
      </c>
      <c r="J1129" s="7">
        <f t="shared" si="114"/>
        <v>2.770780856423174</v>
      </c>
      <c r="K1129" s="7">
        <f t="shared" si="115"/>
        <v>307.44311608175855</v>
      </c>
      <c r="L1129" s="2" t="str">
        <f t="shared" si="110"/>
        <v>Normal</v>
      </c>
      <c r="M1129" s="2" t="str">
        <f t="shared" si="111"/>
        <v>Sharp Volume Increase</v>
      </c>
      <c r="N1129" s="2" t="str">
        <f t="shared" si="112"/>
        <v>No</v>
      </c>
    </row>
    <row r="1130" spans="1:14" x14ac:dyDescent="0.25">
      <c r="A1130" s="3">
        <v>45140</v>
      </c>
      <c r="B1130" s="4">
        <v>2023</v>
      </c>
      <c r="C1130" s="5">
        <v>2050</v>
      </c>
      <c r="D1130" s="5">
        <v>2050</v>
      </c>
      <c r="E1130" s="5">
        <v>1990</v>
      </c>
      <c r="F1130" s="5">
        <v>2010</v>
      </c>
      <c r="G1130" s="5">
        <v>1766.5</v>
      </c>
      <c r="H1130" s="6">
        <v>78406600</v>
      </c>
      <c r="I1130" s="22" t="str">
        <f t="shared" si="113"/>
        <v>-</v>
      </c>
      <c r="J1130" s="7">
        <f t="shared" si="114"/>
        <v>-1.4705882352941175</v>
      </c>
      <c r="K1130" s="7">
        <f t="shared" si="115"/>
        <v>-42.470127707033242</v>
      </c>
      <c r="L1130" s="2" t="str">
        <f t="shared" si="110"/>
        <v>Normal</v>
      </c>
      <c r="M1130" s="2" t="str">
        <f t="shared" si="111"/>
        <v>Normal</v>
      </c>
      <c r="N1130" s="2" t="str">
        <f t="shared" si="112"/>
        <v>No</v>
      </c>
    </row>
    <row r="1131" spans="1:14" x14ac:dyDescent="0.25">
      <c r="A1131" s="3">
        <v>45141</v>
      </c>
      <c r="B1131" s="4">
        <v>2023</v>
      </c>
      <c r="C1131" s="5">
        <v>2000</v>
      </c>
      <c r="D1131" s="5">
        <v>2020</v>
      </c>
      <c r="E1131" s="5">
        <v>1990</v>
      </c>
      <c r="F1131" s="5">
        <v>2010</v>
      </c>
      <c r="G1131" s="5">
        <v>1766.5</v>
      </c>
      <c r="H1131" s="6">
        <v>38816800</v>
      </c>
      <c r="I1131" s="22" t="str">
        <f t="shared" si="113"/>
        <v>0</v>
      </c>
      <c r="J1131" s="7">
        <f t="shared" si="114"/>
        <v>0</v>
      </c>
      <c r="K1131" s="7">
        <f t="shared" si="115"/>
        <v>-50.492943196108484</v>
      </c>
      <c r="L1131" s="2" t="str">
        <f t="shared" si="110"/>
        <v>Normal</v>
      </c>
      <c r="M1131" s="2" t="str">
        <f t="shared" si="111"/>
        <v>Normal</v>
      </c>
      <c r="N1131" s="2" t="str">
        <f t="shared" si="112"/>
        <v>No</v>
      </c>
    </row>
    <row r="1132" spans="1:14" x14ac:dyDescent="0.25">
      <c r="A1132" s="3">
        <v>45142</v>
      </c>
      <c r="B1132" s="4">
        <v>2023</v>
      </c>
      <c r="C1132" s="5">
        <v>2010</v>
      </c>
      <c r="D1132" s="5">
        <v>2040</v>
      </c>
      <c r="E1132" s="5">
        <v>2000</v>
      </c>
      <c r="F1132" s="5">
        <v>2020</v>
      </c>
      <c r="G1132" s="5">
        <v>1775.29</v>
      </c>
      <c r="H1132" s="6">
        <v>40798600</v>
      </c>
      <c r="I1132" s="22" t="str">
        <f t="shared" si="113"/>
        <v>+</v>
      </c>
      <c r="J1132" s="7">
        <f t="shared" si="114"/>
        <v>0.49751243781094528</v>
      </c>
      <c r="K1132" s="7">
        <f t="shared" si="115"/>
        <v>5.1055213206652788</v>
      </c>
      <c r="L1132" s="2" t="str">
        <f t="shared" si="110"/>
        <v>Normal</v>
      </c>
      <c r="M1132" s="2" t="str">
        <f t="shared" si="111"/>
        <v>Normal</v>
      </c>
      <c r="N1132" s="2" t="str">
        <f t="shared" si="112"/>
        <v>No</v>
      </c>
    </row>
    <row r="1133" spans="1:14" x14ac:dyDescent="0.25">
      <c r="A1133" s="3">
        <v>45145</v>
      </c>
      <c r="B1133" s="4">
        <v>2023</v>
      </c>
      <c r="C1133" s="5">
        <v>2030</v>
      </c>
      <c r="D1133" s="5">
        <v>2050</v>
      </c>
      <c r="E1133" s="5">
        <v>2020</v>
      </c>
      <c r="F1133" s="5">
        <v>2040</v>
      </c>
      <c r="G1133" s="5">
        <v>1792.87</v>
      </c>
      <c r="H1133" s="6">
        <v>41290300</v>
      </c>
      <c r="I1133" s="22" t="str">
        <f t="shared" si="113"/>
        <v>+</v>
      </c>
      <c r="J1133" s="7">
        <f t="shared" si="114"/>
        <v>0.99009900990099009</v>
      </c>
      <c r="K1133" s="7">
        <f t="shared" si="115"/>
        <v>1.2051884133279083</v>
      </c>
      <c r="L1133" s="2" t="str">
        <f t="shared" si="110"/>
        <v>Normal</v>
      </c>
      <c r="M1133" s="2" t="str">
        <f t="shared" si="111"/>
        <v>Normal</v>
      </c>
      <c r="N1133" s="2" t="str">
        <f t="shared" si="112"/>
        <v>No</v>
      </c>
    </row>
    <row r="1134" spans="1:14" x14ac:dyDescent="0.25">
      <c r="A1134" s="3">
        <v>45146</v>
      </c>
      <c r="B1134" s="4">
        <v>2023</v>
      </c>
      <c r="C1134" s="5">
        <v>2050</v>
      </c>
      <c r="D1134" s="5">
        <v>2050</v>
      </c>
      <c r="E1134" s="5">
        <v>2000</v>
      </c>
      <c r="F1134" s="5">
        <v>2010</v>
      </c>
      <c r="G1134" s="5">
        <v>1766.5</v>
      </c>
      <c r="H1134" s="6">
        <v>22252100</v>
      </c>
      <c r="I1134" s="22" t="str">
        <f t="shared" si="113"/>
        <v>-</v>
      </c>
      <c r="J1134" s="7">
        <f t="shared" si="114"/>
        <v>-1.4705882352941175</v>
      </c>
      <c r="K1134" s="7">
        <f t="shared" si="115"/>
        <v>-46.108165840403196</v>
      </c>
      <c r="L1134" s="2" t="str">
        <f t="shared" si="110"/>
        <v>Normal</v>
      </c>
      <c r="M1134" s="2" t="str">
        <f t="shared" si="111"/>
        <v>Normal</v>
      </c>
      <c r="N1134" s="2" t="str">
        <f t="shared" si="112"/>
        <v>No</v>
      </c>
    </row>
    <row r="1135" spans="1:14" x14ac:dyDescent="0.25">
      <c r="A1135" s="3">
        <v>45147</v>
      </c>
      <c r="B1135" s="4">
        <v>2023</v>
      </c>
      <c r="C1135" s="5">
        <v>2010</v>
      </c>
      <c r="D1135" s="5">
        <v>2020</v>
      </c>
      <c r="E1135" s="5">
        <v>1990</v>
      </c>
      <c r="F1135" s="5">
        <v>2010</v>
      </c>
      <c r="G1135" s="5">
        <v>1766.5</v>
      </c>
      <c r="H1135" s="6">
        <v>28570200</v>
      </c>
      <c r="I1135" s="22" t="str">
        <f t="shared" si="113"/>
        <v>0</v>
      </c>
      <c r="J1135" s="7">
        <f t="shared" si="114"/>
        <v>0</v>
      </c>
      <c r="K1135" s="7">
        <f t="shared" si="115"/>
        <v>28.393275241437888</v>
      </c>
      <c r="L1135" s="2" t="str">
        <f t="shared" si="110"/>
        <v>Normal</v>
      </c>
      <c r="M1135" s="2" t="str">
        <f t="shared" si="111"/>
        <v>Normal</v>
      </c>
      <c r="N1135" s="2" t="str">
        <f t="shared" si="112"/>
        <v>No</v>
      </c>
    </row>
    <row r="1136" spans="1:14" x14ac:dyDescent="0.25">
      <c r="A1136" s="3">
        <v>45148</v>
      </c>
      <c r="B1136" s="4">
        <v>2023</v>
      </c>
      <c r="C1136" s="5">
        <v>2000</v>
      </c>
      <c r="D1136" s="5">
        <v>2020</v>
      </c>
      <c r="E1136" s="5">
        <v>1990</v>
      </c>
      <c r="F1136" s="5">
        <v>1990</v>
      </c>
      <c r="G1136" s="5">
        <v>1748.93</v>
      </c>
      <c r="H1136" s="6">
        <v>25992700</v>
      </c>
      <c r="I1136" s="22" t="str">
        <f t="shared" si="113"/>
        <v>-</v>
      </c>
      <c r="J1136" s="7">
        <f t="shared" si="114"/>
        <v>-0.99502487562189057</v>
      </c>
      <c r="K1136" s="7">
        <f t="shared" si="115"/>
        <v>-9.0216379304310088</v>
      </c>
      <c r="L1136" s="2" t="str">
        <f t="shared" si="110"/>
        <v>Normal</v>
      </c>
      <c r="M1136" s="2" t="str">
        <f t="shared" si="111"/>
        <v>Normal</v>
      </c>
      <c r="N1136" s="2" t="str">
        <f t="shared" si="112"/>
        <v>No</v>
      </c>
    </row>
    <row r="1137" spans="1:14" x14ac:dyDescent="0.25">
      <c r="A1137" s="3">
        <v>45149</v>
      </c>
      <c r="B1137" s="4">
        <v>2023</v>
      </c>
      <c r="C1137" s="5">
        <v>1995</v>
      </c>
      <c r="D1137" s="5">
        <v>2000</v>
      </c>
      <c r="E1137" s="5">
        <v>1980</v>
      </c>
      <c r="F1137" s="5">
        <v>1990</v>
      </c>
      <c r="G1137" s="5">
        <v>1748.93</v>
      </c>
      <c r="H1137" s="6">
        <v>24628600</v>
      </c>
      <c r="I1137" s="22" t="str">
        <f t="shared" si="113"/>
        <v>0</v>
      </c>
      <c r="J1137" s="7">
        <f t="shared" si="114"/>
        <v>0</v>
      </c>
      <c r="K1137" s="7">
        <f t="shared" si="115"/>
        <v>-5.2480119418144326</v>
      </c>
      <c r="L1137" s="2" t="str">
        <f t="shared" si="110"/>
        <v>Normal</v>
      </c>
      <c r="M1137" s="2" t="str">
        <f t="shared" si="111"/>
        <v>Normal</v>
      </c>
      <c r="N1137" s="2" t="str">
        <f t="shared" si="112"/>
        <v>No</v>
      </c>
    </row>
    <row r="1138" spans="1:14" x14ac:dyDescent="0.25">
      <c r="A1138" s="3">
        <v>45152</v>
      </c>
      <c r="B1138" s="4">
        <v>2023</v>
      </c>
      <c r="C1138" s="5">
        <v>1990</v>
      </c>
      <c r="D1138" s="5">
        <v>2000</v>
      </c>
      <c r="E1138" s="5">
        <v>1970</v>
      </c>
      <c r="F1138" s="5">
        <v>2000</v>
      </c>
      <c r="G1138" s="5">
        <v>1757.71</v>
      </c>
      <c r="H1138" s="6">
        <v>28640500</v>
      </c>
      <c r="I1138" s="22" t="str">
        <f t="shared" si="113"/>
        <v>+</v>
      </c>
      <c r="J1138" s="7">
        <f t="shared" si="114"/>
        <v>0.50251256281407031</v>
      </c>
      <c r="K1138" s="7">
        <f t="shared" si="115"/>
        <v>16.289598271927758</v>
      </c>
      <c r="L1138" s="2" t="str">
        <f t="shared" si="110"/>
        <v>Normal</v>
      </c>
      <c r="M1138" s="2" t="str">
        <f t="shared" si="111"/>
        <v>Normal</v>
      </c>
      <c r="N1138" s="2" t="str">
        <f t="shared" si="112"/>
        <v>No</v>
      </c>
    </row>
    <row r="1139" spans="1:14" x14ac:dyDescent="0.25">
      <c r="A1139" s="3">
        <v>45153</v>
      </c>
      <c r="B1139" s="4">
        <v>2023</v>
      </c>
      <c r="C1139" s="5">
        <v>1995</v>
      </c>
      <c r="D1139" s="5">
        <v>2000</v>
      </c>
      <c r="E1139" s="5">
        <v>1985</v>
      </c>
      <c r="F1139" s="5">
        <v>1990</v>
      </c>
      <c r="G1139" s="5">
        <v>1748.93</v>
      </c>
      <c r="H1139" s="6">
        <v>23413100</v>
      </c>
      <c r="I1139" s="22" t="str">
        <f t="shared" si="113"/>
        <v>-</v>
      </c>
      <c r="J1139" s="7">
        <f t="shared" si="114"/>
        <v>-0.5</v>
      </c>
      <c r="K1139" s="7">
        <f t="shared" si="115"/>
        <v>-18.251776330720485</v>
      </c>
      <c r="L1139" s="2" t="str">
        <f t="shared" si="110"/>
        <v>Normal</v>
      </c>
      <c r="M1139" s="2" t="str">
        <f t="shared" si="111"/>
        <v>Normal</v>
      </c>
      <c r="N1139" s="2" t="str">
        <f t="shared" si="112"/>
        <v>No</v>
      </c>
    </row>
    <row r="1140" spans="1:14" x14ac:dyDescent="0.25">
      <c r="A1140" s="3">
        <v>45154</v>
      </c>
      <c r="B1140" s="4">
        <v>2023</v>
      </c>
      <c r="C1140" s="5">
        <v>1985</v>
      </c>
      <c r="D1140" s="5">
        <v>1990</v>
      </c>
      <c r="E1140" s="5">
        <v>1960</v>
      </c>
      <c r="F1140" s="5">
        <v>1960</v>
      </c>
      <c r="G1140" s="5">
        <v>1722.56</v>
      </c>
      <c r="H1140" s="6">
        <v>62356300</v>
      </c>
      <c r="I1140" s="22" t="str">
        <f t="shared" si="113"/>
        <v>-</v>
      </c>
      <c r="J1140" s="7">
        <f t="shared" si="114"/>
        <v>-1.5075376884422109</v>
      </c>
      <c r="K1140" s="7">
        <f t="shared" si="115"/>
        <v>166.33081480026141</v>
      </c>
      <c r="L1140" s="2" t="str">
        <f t="shared" si="110"/>
        <v>Normal</v>
      </c>
      <c r="M1140" s="2" t="str">
        <f t="shared" si="111"/>
        <v>Sharp Volume Increase</v>
      </c>
      <c r="N1140" s="2" t="str">
        <f t="shared" si="112"/>
        <v>No</v>
      </c>
    </row>
    <row r="1141" spans="1:14" x14ac:dyDescent="0.25">
      <c r="A1141" s="3">
        <v>45156</v>
      </c>
      <c r="B1141" s="4">
        <v>2023</v>
      </c>
      <c r="C1141" s="5">
        <v>1960</v>
      </c>
      <c r="D1141" s="5">
        <v>1970</v>
      </c>
      <c r="E1141" s="5">
        <v>1945</v>
      </c>
      <c r="F1141" s="5">
        <v>1950</v>
      </c>
      <c r="G1141" s="5">
        <v>1713.77</v>
      </c>
      <c r="H1141" s="6">
        <v>42360900</v>
      </c>
      <c r="I1141" s="22" t="str">
        <f t="shared" si="113"/>
        <v>-</v>
      </c>
      <c r="J1141" s="7">
        <f t="shared" si="114"/>
        <v>-0.51020408163265307</v>
      </c>
      <c r="K1141" s="7">
        <f t="shared" si="115"/>
        <v>-32.066366990985671</v>
      </c>
      <c r="L1141" s="2" t="str">
        <f t="shared" si="110"/>
        <v>Normal</v>
      </c>
      <c r="M1141" s="2" t="str">
        <f t="shared" si="111"/>
        <v>Normal</v>
      </c>
      <c r="N1141" s="2" t="str">
        <f t="shared" si="112"/>
        <v>No</v>
      </c>
    </row>
    <row r="1142" spans="1:14" x14ac:dyDescent="0.25">
      <c r="A1142" s="3">
        <v>45159</v>
      </c>
      <c r="B1142" s="4">
        <v>2023</v>
      </c>
      <c r="C1142" s="5">
        <v>1950</v>
      </c>
      <c r="D1142" s="5">
        <v>1965</v>
      </c>
      <c r="E1142" s="5">
        <v>1950</v>
      </c>
      <c r="F1142" s="5">
        <v>1950</v>
      </c>
      <c r="G1142" s="5">
        <v>1713.77</v>
      </c>
      <c r="H1142" s="6">
        <v>18371900</v>
      </c>
      <c r="I1142" s="22" t="str">
        <f t="shared" si="113"/>
        <v>0</v>
      </c>
      <c r="J1142" s="7">
        <f t="shared" si="114"/>
        <v>0</v>
      </c>
      <c r="K1142" s="7">
        <f t="shared" si="115"/>
        <v>-56.630052713705325</v>
      </c>
      <c r="L1142" s="2" t="str">
        <f t="shared" si="110"/>
        <v>Normal</v>
      </c>
      <c r="M1142" s="2" t="str">
        <f t="shared" si="111"/>
        <v>Normal</v>
      </c>
      <c r="N1142" s="2" t="str">
        <f t="shared" si="112"/>
        <v>No</v>
      </c>
    </row>
    <row r="1143" spans="1:14" x14ac:dyDescent="0.25">
      <c r="A1143" s="3">
        <v>45160</v>
      </c>
      <c r="B1143" s="4">
        <v>2023</v>
      </c>
      <c r="C1143" s="5">
        <v>1950</v>
      </c>
      <c r="D1143" s="5">
        <v>1960</v>
      </c>
      <c r="E1143" s="5">
        <v>1935</v>
      </c>
      <c r="F1143" s="5">
        <v>1945</v>
      </c>
      <c r="G1143" s="5">
        <v>1709.38</v>
      </c>
      <c r="H1143" s="6">
        <v>36188400</v>
      </c>
      <c r="I1143" s="22" t="str">
        <f t="shared" si="113"/>
        <v>-</v>
      </c>
      <c r="J1143" s="7">
        <f t="shared" si="114"/>
        <v>-0.25641025641025639</v>
      </c>
      <c r="K1143" s="7">
        <f t="shared" si="115"/>
        <v>96.976904947229187</v>
      </c>
      <c r="L1143" s="2" t="str">
        <f t="shared" si="110"/>
        <v>Normal</v>
      </c>
      <c r="M1143" s="2" t="str">
        <f t="shared" si="111"/>
        <v>Normal</v>
      </c>
      <c r="N1143" s="2" t="str">
        <f t="shared" si="112"/>
        <v>No</v>
      </c>
    </row>
    <row r="1144" spans="1:14" x14ac:dyDescent="0.25">
      <c r="A1144" s="3">
        <v>45161</v>
      </c>
      <c r="B1144" s="4">
        <v>2023</v>
      </c>
      <c r="C1144" s="5">
        <v>1950</v>
      </c>
      <c r="D1144" s="5">
        <v>1965</v>
      </c>
      <c r="E1144" s="5">
        <v>1950</v>
      </c>
      <c r="F1144" s="5">
        <v>1955</v>
      </c>
      <c r="G1144" s="5">
        <v>1718.17</v>
      </c>
      <c r="H1144" s="6">
        <v>35653600</v>
      </c>
      <c r="I1144" s="22" t="str">
        <f t="shared" si="113"/>
        <v>+</v>
      </c>
      <c r="J1144" s="7">
        <f t="shared" si="114"/>
        <v>0.51413881748071977</v>
      </c>
      <c r="K1144" s="7">
        <f t="shared" si="115"/>
        <v>-1.4778216223983376</v>
      </c>
      <c r="L1144" s="2" t="str">
        <f t="shared" si="110"/>
        <v>Normal</v>
      </c>
      <c r="M1144" s="2" t="str">
        <f t="shared" si="111"/>
        <v>Normal</v>
      </c>
      <c r="N1144" s="2" t="str">
        <f t="shared" si="112"/>
        <v>No</v>
      </c>
    </row>
    <row r="1145" spans="1:14" x14ac:dyDescent="0.25">
      <c r="A1145" s="3">
        <v>45162</v>
      </c>
      <c r="B1145" s="4">
        <v>2023</v>
      </c>
      <c r="C1145" s="5">
        <v>1975</v>
      </c>
      <c r="D1145" s="5">
        <v>2020</v>
      </c>
      <c r="E1145" s="5">
        <v>1975</v>
      </c>
      <c r="F1145" s="5">
        <v>1995</v>
      </c>
      <c r="G1145" s="5">
        <v>1753.32</v>
      </c>
      <c r="H1145" s="6">
        <v>81402400</v>
      </c>
      <c r="I1145" s="22" t="str">
        <f t="shared" si="113"/>
        <v>+</v>
      </c>
      <c r="J1145" s="7">
        <f t="shared" si="114"/>
        <v>2.0460358056265986</v>
      </c>
      <c r="K1145" s="7">
        <f t="shared" si="115"/>
        <v>128.31467229115714</v>
      </c>
      <c r="L1145" s="2" t="str">
        <f t="shared" si="110"/>
        <v>Normal</v>
      </c>
      <c r="M1145" s="2" t="str">
        <f t="shared" si="111"/>
        <v>Normal</v>
      </c>
      <c r="N1145" s="2" t="str">
        <f t="shared" si="112"/>
        <v>No</v>
      </c>
    </row>
    <row r="1146" spans="1:14" x14ac:dyDescent="0.25">
      <c r="A1146" s="3">
        <v>45163</v>
      </c>
      <c r="B1146" s="4">
        <v>2023</v>
      </c>
      <c r="C1146" s="5">
        <v>1995</v>
      </c>
      <c r="D1146" s="5">
        <v>2010</v>
      </c>
      <c r="E1146" s="5">
        <v>1980</v>
      </c>
      <c r="F1146" s="5">
        <v>1990</v>
      </c>
      <c r="G1146" s="5">
        <v>1748.93</v>
      </c>
      <c r="H1146" s="6">
        <v>34868200</v>
      </c>
      <c r="I1146" s="22" t="str">
        <f t="shared" si="113"/>
        <v>-</v>
      </c>
      <c r="J1146" s="7">
        <f t="shared" si="114"/>
        <v>-0.25062656641604009</v>
      </c>
      <c r="K1146" s="7">
        <f t="shared" si="115"/>
        <v>-57.165636394012949</v>
      </c>
      <c r="L1146" s="2" t="str">
        <f t="shared" si="110"/>
        <v>Normal</v>
      </c>
      <c r="M1146" s="2" t="str">
        <f t="shared" si="111"/>
        <v>Sharp Volume Decrease</v>
      </c>
      <c r="N1146" s="2" t="str">
        <f t="shared" si="112"/>
        <v>No</v>
      </c>
    </row>
    <row r="1147" spans="1:14" x14ac:dyDescent="0.25">
      <c r="A1147" s="3">
        <v>45166</v>
      </c>
      <c r="B1147" s="4">
        <v>2023</v>
      </c>
      <c r="C1147" s="5">
        <v>1995</v>
      </c>
      <c r="D1147" s="5">
        <v>2010</v>
      </c>
      <c r="E1147" s="5">
        <v>1980</v>
      </c>
      <c r="F1147" s="5">
        <v>1995</v>
      </c>
      <c r="G1147" s="5">
        <v>1753.32</v>
      </c>
      <c r="H1147" s="6">
        <v>20521600</v>
      </c>
      <c r="I1147" s="22" t="str">
        <f t="shared" si="113"/>
        <v>+</v>
      </c>
      <c r="J1147" s="7">
        <f t="shared" si="114"/>
        <v>0.25125628140703515</v>
      </c>
      <c r="K1147" s="7">
        <f t="shared" si="115"/>
        <v>-41.145226882947789</v>
      </c>
      <c r="L1147" s="2" t="str">
        <f t="shared" si="110"/>
        <v>Normal</v>
      </c>
      <c r="M1147" s="2" t="str">
        <f t="shared" si="111"/>
        <v>Normal</v>
      </c>
      <c r="N1147" s="2" t="str">
        <f t="shared" si="112"/>
        <v>No</v>
      </c>
    </row>
    <row r="1148" spans="1:14" x14ac:dyDescent="0.25">
      <c r="A1148" s="3">
        <v>45167</v>
      </c>
      <c r="B1148" s="4">
        <v>2023</v>
      </c>
      <c r="C1148" s="5">
        <v>1995</v>
      </c>
      <c r="D1148" s="5">
        <v>2000</v>
      </c>
      <c r="E1148" s="5">
        <v>1980</v>
      </c>
      <c r="F1148" s="5">
        <v>1995</v>
      </c>
      <c r="G1148" s="5">
        <v>1753.32</v>
      </c>
      <c r="H1148" s="6">
        <v>23010600</v>
      </c>
      <c r="I1148" s="22" t="str">
        <f t="shared" si="113"/>
        <v>0</v>
      </c>
      <c r="J1148" s="7">
        <f t="shared" si="114"/>
        <v>0</v>
      </c>
      <c r="K1148" s="7">
        <f t="shared" si="115"/>
        <v>12.128683923280835</v>
      </c>
      <c r="L1148" s="2" t="str">
        <f t="shared" si="110"/>
        <v>Normal</v>
      </c>
      <c r="M1148" s="2" t="str">
        <f t="shared" si="111"/>
        <v>Normal</v>
      </c>
      <c r="N1148" s="2" t="str">
        <f t="shared" si="112"/>
        <v>No</v>
      </c>
    </row>
    <row r="1149" spans="1:14" x14ac:dyDescent="0.25">
      <c r="A1149" s="3">
        <v>45168</v>
      </c>
      <c r="B1149" s="4">
        <v>2023</v>
      </c>
      <c r="C1149" s="5">
        <v>2010</v>
      </c>
      <c r="D1149" s="5">
        <v>2010</v>
      </c>
      <c r="E1149" s="5">
        <v>1995</v>
      </c>
      <c r="F1149" s="5">
        <v>1995</v>
      </c>
      <c r="G1149" s="5">
        <v>1753.32</v>
      </c>
      <c r="H1149" s="6">
        <v>31964100</v>
      </c>
      <c r="I1149" s="22" t="str">
        <f t="shared" si="113"/>
        <v>0</v>
      </c>
      <c r="J1149" s="7">
        <f t="shared" si="114"/>
        <v>0</v>
      </c>
      <c r="K1149" s="7">
        <f t="shared" si="115"/>
        <v>38.910328283486741</v>
      </c>
      <c r="L1149" s="2" t="str">
        <f t="shared" si="110"/>
        <v>Normal</v>
      </c>
      <c r="M1149" s="2" t="str">
        <f t="shared" si="111"/>
        <v>Normal</v>
      </c>
      <c r="N1149" s="2" t="str">
        <f t="shared" si="112"/>
        <v>No</v>
      </c>
    </row>
    <row r="1150" spans="1:14" x14ac:dyDescent="0.25">
      <c r="A1150" s="3">
        <v>45169</v>
      </c>
      <c r="B1150" s="4">
        <v>2023</v>
      </c>
      <c r="C1150" s="5">
        <v>1995</v>
      </c>
      <c r="D1150" s="5">
        <v>2010</v>
      </c>
      <c r="E1150" s="5">
        <v>1975</v>
      </c>
      <c r="F1150" s="5">
        <v>1990</v>
      </c>
      <c r="G1150" s="5">
        <v>1748.93</v>
      </c>
      <c r="H1150" s="6">
        <v>34775700</v>
      </c>
      <c r="I1150" s="22" t="str">
        <f t="shared" si="113"/>
        <v>-</v>
      </c>
      <c r="J1150" s="7">
        <f t="shared" si="114"/>
        <v>-0.25062656641604009</v>
      </c>
      <c r="K1150" s="7">
        <f t="shared" si="115"/>
        <v>8.7961181450439714</v>
      </c>
      <c r="L1150" s="2" t="str">
        <f t="shared" si="110"/>
        <v>Normal</v>
      </c>
      <c r="M1150" s="2" t="str">
        <f t="shared" si="111"/>
        <v>Normal</v>
      </c>
      <c r="N1150" s="2" t="str">
        <f t="shared" si="112"/>
        <v>No</v>
      </c>
    </row>
    <row r="1151" spans="1:14" x14ac:dyDescent="0.25">
      <c r="A1151" s="3">
        <v>45170</v>
      </c>
      <c r="B1151" s="4">
        <v>2023</v>
      </c>
      <c r="C1151" s="5">
        <v>1925</v>
      </c>
      <c r="D1151" s="5">
        <v>1970</v>
      </c>
      <c r="E1151" s="5">
        <v>1925</v>
      </c>
      <c r="F1151" s="5">
        <v>1955</v>
      </c>
      <c r="G1151" s="5">
        <v>1718.17</v>
      </c>
      <c r="H1151" s="6">
        <v>89347300</v>
      </c>
      <c r="I1151" s="22" t="str">
        <f t="shared" si="113"/>
        <v>-</v>
      </c>
      <c r="J1151" s="7">
        <f t="shared" si="114"/>
        <v>-1.7587939698492463</v>
      </c>
      <c r="K1151" s="7">
        <f t="shared" si="115"/>
        <v>156.92451913261272</v>
      </c>
      <c r="L1151" s="2" t="str">
        <f t="shared" si="110"/>
        <v>Normal</v>
      </c>
      <c r="M1151" s="2" t="str">
        <f t="shared" si="111"/>
        <v>Normal</v>
      </c>
      <c r="N1151" s="2" t="str">
        <f t="shared" si="112"/>
        <v>No</v>
      </c>
    </row>
    <row r="1152" spans="1:14" x14ac:dyDescent="0.25">
      <c r="A1152" s="3">
        <v>45173</v>
      </c>
      <c r="B1152" s="4">
        <v>2023</v>
      </c>
      <c r="C1152" s="5">
        <v>1975</v>
      </c>
      <c r="D1152" s="5">
        <v>1980</v>
      </c>
      <c r="E1152" s="5">
        <v>1950</v>
      </c>
      <c r="F1152" s="5">
        <v>1950</v>
      </c>
      <c r="G1152" s="5">
        <v>1713.77</v>
      </c>
      <c r="H1152" s="6">
        <v>50595200</v>
      </c>
      <c r="I1152" s="22" t="str">
        <f t="shared" si="113"/>
        <v>-</v>
      </c>
      <c r="J1152" s="7">
        <f t="shared" si="114"/>
        <v>-0.25575447570332482</v>
      </c>
      <c r="K1152" s="7">
        <f t="shared" si="115"/>
        <v>-43.37243542893853</v>
      </c>
      <c r="L1152" s="2" t="str">
        <f t="shared" si="110"/>
        <v>Normal</v>
      </c>
      <c r="M1152" s="2" t="str">
        <f t="shared" si="111"/>
        <v>Normal</v>
      </c>
      <c r="N1152" s="2" t="str">
        <f t="shared" si="112"/>
        <v>No</v>
      </c>
    </row>
    <row r="1153" spans="1:14" x14ac:dyDescent="0.25">
      <c r="A1153" s="3">
        <v>45174</v>
      </c>
      <c r="B1153" s="4">
        <v>2023</v>
      </c>
      <c r="C1153" s="5">
        <v>1950</v>
      </c>
      <c r="D1153" s="5">
        <v>1970</v>
      </c>
      <c r="E1153" s="5">
        <v>1945</v>
      </c>
      <c r="F1153" s="5">
        <v>1950</v>
      </c>
      <c r="G1153" s="5">
        <v>1713.77</v>
      </c>
      <c r="H1153" s="6">
        <v>30663500</v>
      </c>
      <c r="I1153" s="22" t="str">
        <f t="shared" si="113"/>
        <v>0</v>
      </c>
      <c r="J1153" s="7">
        <f t="shared" si="114"/>
        <v>0</v>
      </c>
      <c r="K1153" s="7">
        <f t="shared" si="115"/>
        <v>-39.394448485231806</v>
      </c>
      <c r="L1153" s="2" t="str">
        <f t="shared" si="110"/>
        <v>Normal</v>
      </c>
      <c r="M1153" s="2" t="str">
        <f t="shared" si="111"/>
        <v>Normal</v>
      </c>
      <c r="N1153" s="2" t="str">
        <f t="shared" si="112"/>
        <v>No</v>
      </c>
    </row>
    <row r="1154" spans="1:14" x14ac:dyDescent="0.25">
      <c r="A1154" s="3">
        <v>45175</v>
      </c>
      <c r="B1154" s="4">
        <v>2023</v>
      </c>
      <c r="C1154" s="5">
        <v>1950</v>
      </c>
      <c r="D1154" s="5">
        <v>1965</v>
      </c>
      <c r="E1154" s="5">
        <v>1945</v>
      </c>
      <c r="F1154" s="5">
        <v>1945</v>
      </c>
      <c r="G1154" s="5">
        <v>1709.38</v>
      </c>
      <c r="H1154" s="6">
        <v>46818400</v>
      </c>
      <c r="I1154" s="22" t="str">
        <f t="shared" si="113"/>
        <v>-</v>
      </c>
      <c r="J1154" s="7">
        <f t="shared" si="114"/>
        <v>-0.25641025641025639</v>
      </c>
      <c r="K1154" s="7">
        <f t="shared" si="115"/>
        <v>52.684461982487321</v>
      </c>
      <c r="L1154" s="2" t="str">
        <f t="shared" si="110"/>
        <v>Normal</v>
      </c>
      <c r="M1154" s="2" t="str">
        <f t="shared" si="111"/>
        <v>Normal</v>
      </c>
      <c r="N1154" s="2" t="str">
        <f t="shared" si="112"/>
        <v>No</v>
      </c>
    </row>
    <row r="1155" spans="1:14" x14ac:dyDescent="0.25">
      <c r="A1155" s="3">
        <v>45176</v>
      </c>
      <c r="B1155" s="4">
        <v>2023</v>
      </c>
      <c r="C1155" s="5">
        <v>1945</v>
      </c>
      <c r="D1155" s="5">
        <v>1955</v>
      </c>
      <c r="E1155" s="5">
        <v>1940</v>
      </c>
      <c r="F1155" s="5">
        <v>1955</v>
      </c>
      <c r="G1155" s="5">
        <v>1718.17</v>
      </c>
      <c r="H1155" s="6">
        <v>29131200</v>
      </c>
      <c r="I1155" s="22" t="str">
        <f t="shared" si="113"/>
        <v>+</v>
      </c>
      <c r="J1155" s="7">
        <f t="shared" si="114"/>
        <v>0.51413881748071977</v>
      </c>
      <c r="K1155" s="7">
        <f t="shared" si="115"/>
        <v>-37.778309382635889</v>
      </c>
      <c r="L1155" s="2" t="str">
        <f t="shared" ref="L1155:L1218" si="116">IFERROR(IF(OR(J1155="",ISBLANK(J1155)),"Normal",IF(J1155&lt;=$U$6,"Sharp Price Decrease",IF(J1155&gt;=$U$7,"Sharp Price Increase","Normal"))),"Normal")</f>
        <v>Normal</v>
      </c>
      <c r="M1155" s="2" t="str">
        <f t="shared" ref="M1155:M1218" si="117">IFERROR(IF(OR(K1155="",ISBLANK(K1155)),"Normal",IF(K1155&lt;=$U$8,"Sharp Volume Decrease",IF(K1155&gt;=$U$9,"Sharp Volume Increase","Normal"))),"Normal")</f>
        <v>Normal</v>
      </c>
      <c r="N1155" s="2" t="str">
        <f t="shared" ref="N1155:N1218" si="118">IFERROR(IF(AND(OR(L1155="Sharp Price Increase",L1155="Sharp Price Decrease"),OR(M1155="Sharp Volume Increase",M1155="Sharp Volume Decrease")),"Yes","No"),"No")</f>
        <v>No</v>
      </c>
    </row>
    <row r="1156" spans="1:14" x14ac:dyDescent="0.25">
      <c r="A1156" s="3">
        <v>45177</v>
      </c>
      <c r="B1156" s="4">
        <v>2023</v>
      </c>
      <c r="C1156" s="5">
        <v>1955</v>
      </c>
      <c r="D1156" s="5">
        <v>1960</v>
      </c>
      <c r="E1156" s="5">
        <v>1940</v>
      </c>
      <c r="F1156" s="5">
        <v>1945</v>
      </c>
      <c r="G1156" s="5">
        <v>1709.38</v>
      </c>
      <c r="H1156" s="6">
        <v>28062400</v>
      </c>
      <c r="I1156" s="22" t="str">
        <f t="shared" ref="I1156:I1219" si="119">IFERROR(IF(OR(F1155="",F1156=""),"",IF(F1156-F1155&lt;0,"-",IF(F1156-F1155&gt;0,"+","0"))),"")</f>
        <v>-</v>
      </c>
      <c r="J1156" s="7">
        <f t="shared" ref="J1156:J1219" si="120">(F1156-F1155)/F1155*100</f>
        <v>-0.51150895140664965</v>
      </c>
      <c r="K1156" s="7">
        <f t="shared" ref="K1156:K1219" si="121">(H1156-H1155)/H1155*100</f>
        <v>-3.6689185478112813</v>
      </c>
      <c r="L1156" s="2" t="str">
        <f t="shared" si="116"/>
        <v>Normal</v>
      </c>
      <c r="M1156" s="2" t="str">
        <f t="shared" si="117"/>
        <v>Normal</v>
      </c>
      <c r="N1156" s="2" t="str">
        <f t="shared" si="118"/>
        <v>No</v>
      </c>
    </row>
    <row r="1157" spans="1:14" x14ac:dyDescent="0.25">
      <c r="A1157" s="3">
        <v>45180</v>
      </c>
      <c r="B1157" s="4">
        <v>2023</v>
      </c>
      <c r="C1157" s="5">
        <v>1945</v>
      </c>
      <c r="D1157" s="5">
        <v>1955</v>
      </c>
      <c r="E1157" s="5">
        <v>1930</v>
      </c>
      <c r="F1157" s="5">
        <v>1955</v>
      </c>
      <c r="G1157" s="5">
        <v>1718.17</v>
      </c>
      <c r="H1157" s="6">
        <v>28507500</v>
      </c>
      <c r="I1157" s="22" t="str">
        <f t="shared" si="119"/>
        <v>+</v>
      </c>
      <c r="J1157" s="7">
        <f t="shared" si="120"/>
        <v>0.51413881748071977</v>
      </c>
      <c r="K1157" s="7">
        <f t="shared" si="121"/>
        <v>1.5861081019442385</v>
      </c>
      <c r="L1157" s="2" t="str">
        <f t="shared" si="116"/>
        <v>Normal</v>
      </c>
      <c r="M1157" s="2" t="str">
        <f t="shared" si="117"/>
        <v>Normal</v>
      </c>
      <c r="N1157" s="2" t="str">
        <f t="shared" si="118"/>
        <v>No</v>
      </c>
    </row>
    <row r="1158" spans="1:14" x14ac:dyDescent="0.25">
      <c r="A1158" s="3">
        <v>45181</v>
      </c>
      <c r="B1158" s="4">
        <v>2023</v>
      </c>
      <c r="C1158" s="5">
        <v>1960</v>
      </c>
      <c r="D1158" s="5">
        <v>1960</v>
      </c>
      <c r="E1158" s="5">
        <v>1940</v>
      </c>
      <c r="F1158" s="5">
        <v>1945</v>
      </c>
      <c r="G1158" s="5">
        <v>1709.38</v>
      </c>
      <c r="H1158" s="6">
        <v>19270100</v>
      </c>
      <c r="I1158" s="22" t="str">
        <f t="shared" si="119"/>
        <v>-</v>
      </c>
      <c r="J1158" s="7">
        <f t="shared" si="120"/>
        <v>-0.51150895140664965</v>
      </c>
      <c r="K1158" s="7">
        <f t="shared" si="121"/>
        <v>-32.403402613347367</v>
      </c>
      <c r="L1158" s="2" t="str">
        <f t="shared" si="116"/>
        <v>Normal</v>
      </c>
      <c r="M1158" s="2" t="str">
        <f t="shared" si="117"/>
        <v>Normal</v>
      </c>
      <c r="N1158" s="2" t="str">
        <f t="shared" si="118"/>
        <v>No</v>
      </c>
    </row>
    <row r="1159" spans="1:14" x14ac:dyDescent="0.25">
      <c r="A1159" s="3">
        <v>45182</v>
      </c>
      <c r="B1159" s="4">
        <v>2023</v>
      </c>
      <c r="C1159" s="5">
        <v>1950</v>
      </c>
      <c r="D1159" s="5">
        <v>1950</v>
      </c>
      <c r="E1159" s="5">
        <v>1910</v>
      </c>
      <c r="F1159" s="5">
        <v>1915</v>
      </c>
      <c r="G1159" s="5">
        <v>1683.01</v>
      </c>
      <c r="H1159" s="6">
        <v>42991700</v>
      </c>
      <c r="I1159" s="22" t="str">
        <f t="shared" si="119"/>
        <v>-</v>
      </c>
      <c r="J1159" s="7">
        <f t="shared" si="120"/>
        <v>-1.5424164524421593</v>
      </c>
      <c r="K1159" s="7">
        <f t="shared" si="121"/>
        <v>123.10055474543464</v>
      </c>
      <c r="L1159" s="2" t="str">
        <f t="shared" si="116"/>
        <v>Normal</v>
      </c>
      <c r="M1159" s="2" t="str">
        <f t="shared" si="117"/>
        <v>Normal</v>
      </c>
      <c r="N1159" s="2" t="str">
        <f t="shared" si="118"/>
        <v>No</v>
      </c>
    </row>
    <row r="1160" spans="1:14" x14ac:dyDescent="0.25">
      <c r="A1160" s="3">
        <v>45183</v>
      </c>
      <c r="B1160" s="4">
        <v>2023</v>
      </c>
      <c r="C1160" s="5">
        <v>1920</v>
      </c>
      <c r="D1160" s="5">
        <v>1935</v>
      </c>
      <c r="E1160" s="5">
        <v>1895</v>
      </c>
      <c r="F1160" s="5">
        <v>1900</v>
      </c>
      <c r="G1160" s="5">
        <v>1669.83</v>
      </c>
      <c r="H1160" s="6">
        <v>53126700</v>
      </c>
      <c r="I1160" s="22" t="str">
        <f t="shared" si="119"/>
        <v>-</v>
      </c>
      <c r="J1160" s="7">
        <f t="shared" si="120"/>
        <v>-0.7832898172323759</v>
      </c>
      <c r="K1160" s="7">
        <f t="shared" si="121"/>
        <v>23.574317833442269</v>
      </c>
      <c r="L1160" s="2" t="str">
        <f t="shared" si="116"/>
        <v>Normal</v>
      </c>
      <c r="M1160" s="2" t="str">
        <f t="shared" si="117"/>
        <v>Normal</v>
      </c>
      <c r="N1160" s="2" t="str">
        <f t="shared" si="118"/>
        <v>No</v>
      </c>
    </row>
    <row r="1161" spans="1:14" x14ac:dyDescent="0.25">
      <c r="A1161" s="3">
        <v>45184</v>
      </c>
      <c r="B1161" s="4">
        <v>2023</v>
      </c>
      <c r="C1161" s="5">
        <v>1900</v>
      </c>
      <c r="D1161" s="5">
        <v>1920</v>
      </c>
      <c r="E1161" s="5">
        <v>1895</v>
      </c>
      <c r="F1161" s="5">
        <v>1900</v>
      </c>
      <c r="G1161" s="5">
        <v>1669.83</v>
      </c>
      <c r="H1161" s="6">
        <v>46983300</v>
      </c>
      <c r="I1161" s="22" t="str">
        <f t="shared" si="119"/>
        <v>0</v>
      </c>
      <c r="J1161" s="7">
        <f t="shared" si="120"/>
        <v>0</v>
      </c>
      <c r="K1161" s="7">
        <f t="shared" si="121"/>
        <v>-11.563677021158853</v>
      </c>
      <c r="L1161" s="2" t="str">
        <f t="shared" si="116"/>
        <v>Normal</v>
      </c>
      <c r="M1161" s="2" t="str">
        <f t="shared" si="117"/>
        <v>Normal</v>
      </c>
      <c r="N1161" s="2" t="str">
        <f t="shared" si="118"/>
        <v>No</v>
      </c>
    </row>
    <row r="1162" spans="1:14" x14ac:dyDescent="0.25">
      <c r="A1162" s="3">
        <v>45187</v>
      </c>
      <c r="B1162" s="4">
        <v>2023</v>
      </c>
      <c r="C1162" s="5">
        <v>1900</v>
      </c>
      <c r="D1162" s="5">
        <v>1910</v>
      </c>
      <c r="E1162" s="5">
        <v>1845</v>
      </c>
      <c r="F1162" s="5">
        <v>1845</v>
      </c>
      <c r="G1162" s="5">
        <v>1621.49</v>
      </c>
      <c r="H1162" s="6">
        <v>55122100</v>
      </c>
      <c r="I1162" s="22" t="str">
        <f t="shared" si="119"/>
        <v>-</v>
      </c>
      <c r="J1162" s="7">
        <f t="shared" si="120"/>
        <v>-2.8947368421052633</v>
      </c>
      <c r="K1162" s="7">
        <f t="shared" si="121"/>
        <v>17.322750849770024</v>
      </c>
      <c r="L1162" s="2" t="str">
        <f t="shared" si="116"/>
        <v>Normal</v>
      </c>
      <c r="M1162" s="2" t="str">
        <f t="shared" si="117"/>
        <v>Normal</v>
      </c>
      <c r="N1162" s="2" t="str">
        <f t="shared" si="118"/>
        <v>No</v>
      </c>
    </row>
    <row r="1163" spans="1:14" x14ac:dyDescent="0.25">
      <c r="A1163" s="3">
        <v>45188</v>
      </c>
      <c r="B1163" s="4">
        <v>2023</v>
      </c>
      <c r="C1163" s="5">
        <v>1835</v>
      </c>
      <c r="D1163" s="5">
        <v>1870</v>
      </c>
      <c r="E1163" s="5">
        <v>1815</v>
      </c>
      <c r="F1163" s="5">
        <v>1840</v>
      </c>
      <c r="G1163" s="5">
        <v>1617.1</v>
      </c>
      <c r="H1163" s="6">
        <v>50949200</v>
      </c>
      <c r="I1163" s="22" t="str">
        <f t="shared" si="119"/>
        <v>-</v>
      </c>
      <c r="J1163" s="7">
        <f t="shared" si="120"/>
        <v>-0.27100271002710025</v>
      </c>
      <c r="K1163" s="7">
        <f t="shared" si="121"/>
        <v>-7.5702848766647142</v>
      </c>
      <c r="L1163" s="2" t="str">
        <f t="shared" si="116"/>
        <v>Normal</v>
      </c>
      <c r="M1163" s="2" t="str">
        <f t="shared" si="117"/>
        <v>Normal</v>
      </c>
      <c r="N1163" s="2" t="str">
        <f t="shared" si="118"/>
        <v>No</v>
      </c>
    </row>
    <row r="1164" spans="1:14" x14ac:dyDescent="0.25">
      <c r="A1164" s="3">
        <v>45189</v>
      </c>
      <c r="B1164" s="4">
        <v>2023</v>
      </c>
      <c r="C1164" s="5">
        <v>1845</v>
      </c>
      <c r="D1164" s="5">
        <v>1875</v>
      </c>
      <c r="E1164" s="5">
        <v>1845</v>
      </c>
      <c r="F1164" s="5">
        <v>1860</v>
      </c>
      <c r="G1164" s="5">
        <v>1634.67</v>
      </c>
      <c r="H1164" s="6">
        <v>30863900</v>
      </c>
      <c r="I1164" s="22" t="str">
        <f t="shared" si="119"/>
        <v>+</v>
      </c>
      <c r="J1164" s="7">
        <f t="shared" si="120"/>
        <v>1.0869565217391304</v>
      </c>
      <c r="K1164" s="7">
        <f t="shared" si="121"/>
        <v>-39.422208788361743</v>
      </c>
      <c r="L1164" s="2" t="str">
        <f t="shared" si="116"/>
        <v>Normal</v>
      </c>
      <c r="M1164" s="2" t="str">
        <f t="shared" si="117"/>
        <v>Normal</v>
      </c>
      <c r="N1164" s="2" t="str">
        <f t="shared" si="118"/>
        <v>No</v>
      </c>
    </row>
    <row r="1165" spans="1:14" x14ac:dyDescent="0.25">
      <c r="A1165" s="3">
        <v>45190</v>
      </c>
      <c r="B1165" s="4">
        <v>2023</v>
      </c>
      <c r="C1165" s="5">
        <v>1860</v>
      </c>
      <c r="D1165" s="5">
        <v>1875</v>
      </c>
      <c r="E1165" s="5">
        <v>1830</v>
      </c>
      <c r="F1165" s="5">
        <v>1835</v>
      </c>
      <c r="G1165" s="5">
        <v>1612.7</v>
      </c>
      <c r="H1165" s="6">
        <v>39716700</v>
      </c>
      <c r="I1165" s="22" t="str">
        <f t="shared" si="119"/>
        <v>-</v>
      </c>
      <c r="J1165" s="7">
        <f t="shared" si="120"/>
        <v>-1.3440860215053763</v>
      </c>
      <c r="K1165" s="7">
        <f t="shared" si="121"/>
        <v>28.683348507479611</v>
      </c>
      <c r="L1165" s="2" t="str">
        <f t="shared" si="116"/>
        <v>Normal</v>
      </c>
      <c r="M1165" s="2" t="str">
        <f t="shared" si="117"/>
        <v>Normal</v>
      </c>
      <c r="N1165" s="2" t="str">
        <f t="shared" si="118"/>
        <v>No</v>
      </c>
    </row>
    <row r="1166" spans="1:14" x14ac:dyDescent="0.25">
      <c r="A1166" s="3">
        <v>45191</v>
      </c>
      <c r="B1166" s="4">
        <v>2023</v>
      </c>
      <c r="C1166" s="5">
        <v>1835</v>
      </c>
      <c r="D1166" s="5">
        <v>1865</v>
      </c>
      <c r="E1166" s="5">
        <v>1835</v>
      </c>
      <c r="F1166" s="5">
        <v>1850</v>
      </c>
      <c r="G1166" s="5">
        <v>1625.89</v>
      </c>
      <c r="H1166" s="6">
        <v>20902800</v>
      </c>
      <c r="I1166" s="22" t="str">
        <f t="shared" si="119"/>
        <v>+</v>
      </c>
      <c r="J1166" s="7">
        <f t="shared" si="120"/>
        <v>0.81743869209809261</v>
      </c>
      <c r="K1166" s="7">
        <f t="shared" si="121"/>
        <v>-47.370249794167194</v>
      </c>
      <c r="L1166" s="2" t="str">
        <f t="shared" si="116"/>
        <v>Normal</v>
      </c>
      <c r="M1166" s="2" t="str">
        <f t="shared" si="117"/>
        <v>Normal</v>
      </c>
      <c r="N1166" s="2" t="str">
        <f t="shared" si="118"/>
        <v>No</v>
      </c>
    </row>
    <row r="1167" spans="1:14" x14ac:dyDescent="0.25">
      <c r="A1167" s="3">
        <v>45194</v>
      </c>
      <c r="B1167" s="4">
        <v>2023</v>
      </c>
      <c r="C1167" s="5">
        <v>1855</v>
      </c>
      <c r="D1167" s="5">
        <v>1865</v>
      </c>
      <c r="E1167" s="5">
        <v>1845</v>
      </c>
      <c r="F1167" s="5">
        <v>1850</v>
      </c>
      <c r="G1167" s="5">
        <v>1625.89</v>
      </c>
      <c r="H1167" s="6">
        <v>15640300</v>
      </c>
      <c r="I1167" s="22" t="str">
        <f t="shared" si="119"/>
        <v>0</v>
      </c>
      <c r="J1167" s="7">
        <f t="shared" si="120"/>
        <v>0</v>
      </c>
      <c r="K1167" s="7">
        <f t="shared" si="121"/>
        <v>-25.176052968980233</v>
      </c>
      <c r="L1167" s="2" t="str">
        <f t="shared" si="116"/>
        <v>Normal</v>
      </c>
      <c r="M1167" s="2" t="str">
        <f t="shared" si="117"/>
        <v>Normal</v>
      </c>
      <c r="N1167" s="2" t="str">
        <f t="shared" si="118"/>
        <v>No</v>
      </c>
    </row>
    <row r="1168" spans="1:14" x14ac:dyDescent="0.25">
      <c r="A1168" s="3">
        <v>45195</v>
      </c>
      <c r="B1168" s="4">
        <v>2023</v>
      </c>
      <c r="C1168" s="5">
        <v>1850</v>
      </c>
      <c r="D1168" s="5">
        <v>1855</v>
      </c>
      <c r="E1168" s="5">
        <v>1830</v>
      </c>
      <c r="F1168" s="5">
        <v>1840</v>
      </c>
      <c r="G1168" s="5">
        <v>1617.1</v>
      </c>
      <c r="H1168" s="6">
        <v>23825200</v>
      </c>
      <c r="I1168" s="22" t="str">
        <f t="shared" si="119"/>
        <v>-</v>
      </c>
      <c r="J1168" s="7">
        <f t="shared" si="120"/>
        <v>-0.54054054054054057</v>
      </c>
      <c r="K1168" s="7">
        <f t="shared" si="121"/>
        <v>52.332116391629313</v>
      </c>
      <c r="L1168" s="2" t="str">
        <f t="shared" si="116"/>
        <v>Normal</v>
      </c>
      <c r="M1168" s="2" t="str">
        <f t="shared" si="117"/>
        <v>Normal</v>
      </c>
      <c r="N1168" s="2" t="str">
        <f t="shared" si="118"/>
        <v>No</v>
      </c>
    </row>
    <row r="1169" spans="1:14" x14ac:dyDescent="0.25">
      <c r="A1169" s="3">
        <v>45196</v>
      </c>
      <c r="B1169" s="4">
        <v>2023</v>
      </c>
      <c r="C1169" s="5">
        <v>1840</v>
      </c>
      <c r="D1169" s="5">
        <v>1845</v>
      </c>
      <c r="E1169" s="5">
        <v>1820</v>
      </c>
      <c r="F1169" s="5">
        <v>1820</v>
      </c>
      <c r="G1169" s="5">
        <v>1599.52</v>
      </c>
      <c r="H1169" s="6">
        <v>17418400</v>
      </c>
      <c r="I1169" s="22" t="str">
        <f t="shared" si="119"/>
        <v>-</v>
      </c>
      <c r="J1169" s="7">
        <f t="shared" si="120"/>
        <v>-1.0869565217391304</v>
      </c>
      <c r="K1169" s="7">
        <f t="shared" si="121"/>
        <v>-26.890855061027818</v>
      </c>
      <c r="L1169" s="2" t="str">
        <f t="shared" si="116"/>
        <v>Normal</v>
      </c>
      <c r="M1169" s="2" t="str">
        <f t="shared" si="117"/>
        <v>Normal</v>
      </c>
      <c r="N1169" s="2" t="str">
        <f t="shared" si="118"/>
        <v>No</v>
      </c>
    </row>
    <row r="1170" spans="1:14" x14ac:dyDescent="0.25">
      <c r="A1170" s="3">
        <v>45198</v>
      </c>
      <c r="B1170" s="4">
        <v>2023</v>
      </c>
      <c r="C1170" s="5">
        <v>1820</v>
      </c>
      <c r="D1170" s="5">
        <v>1830</v>
      </c>
      <c r="E1170" s="5">
        <v>1815</v>
      </c>
      <c r="F1170" s="5">
        <v>1815</v>
      </c>
      <c r="G1170" s="5">
        <v>1595.13</v>
      </c>
      <c r="H1170" s="6">
        <v>23052100</v>
      </c>
      <c r="I1170" s="22" t="str">
        <f t="shared" si="119"/>
        <v>-</v>
      </c>
      <c r="J1170" s="7">
        <f t="shared" si="120"/>
        <v>-0.27472527472527475</v>
      </c>
      <c r="K1170" s="7">
        <f t="shared" si="121"/>
        <v>32.343384007715983</v>
      </c>
      <c r="L1170" s="2" t="str">
        <f t="shared" si="116"/>
        <v>Normal</v>
      </c>
      <c r="M1170" s="2" t="str">
        <f t="shared" si="117"/>
        <v>Normal</v>
      </c>
      <c r="N1170" s="2" t="str">
        <f t="shared" si="118"/>
        <v>No</v>
      </c>
    </row>
    <row r="1171" spans="1:14" x14ac:dyDescent="0.25">
      <c r="A1171" s="3">
        <v>45201</v>
      </c>
      <c r="B1171" s="4">
        <v>2023</v>
      </c>
      <c r="C1171" s="5">
        <v>1815</v>
      </c>
      <c r="D1171" s="5">
        <v>1825</v>
      </c>
      <c r="E1171" s="5">
        <v>1800</v>
      </c>
      <c r="F1171" s="5">
        <v>1805</v>
      </c>
      <c r="G1171" s="5">
        <v>1586.34</v>
      </c>
      <c r="H1171" s="6">
        <v>25415600</v>
      </c>
      <c r="I1171" s="22" t="str">
        <f t="shared" si="119"/>
        <v>-</v>
      </c>
      <c r="J1171" s="7">
        <f t="shared" si="120"/>
        <v>-0.55096418732782371</v>
      </c>
      <c r="K1171" s="7">
        <f t="shared" si="121"/>
        <v>10.252861995219524</v>
      </c>
      <c r="L1171" s="2" t="str">
        <f t="shared" si="116"/>
        <v>Normal</v>
      </c>
      <c r="M1171" s="2" t="str">
        <f t="shared" si="117"/>
        <v>Normal</v>
      </c>
      <c r="N1171" s="2" t="str">
        <f t="shared" si="118"/>
        <v>No</v>
      </c>
    </row>
    <row r="1172" spans="1:14" x14ac:dyDescent="0.25">
      <c r="A1172" s="3">
        <v>45202</v>
      </c>
      <c r="B1172" s="4">
        <v>2023</v>
      </c>
      <c r="C1172" s="5">
        <v>1805</v>
      </c>
      <c r="D1172" s="5">
        <v>1810</v>
      </c>
      <c r="E1172" s="5">
        <v>1765</v>
      </c>
      <c r="F1172" s="5">
        <v>1765</v>
      </c>
      <c r="G1172" s="5">
        <v>1551.18</v>
      </c>
      <c r="H1172" s="6">
        <v>42107800</v>
      </c>
      <c r="I1172" s="22" t="str">
        <f t="shared" si="119"/>
        <v>-</v>
      </c>
      <c r="J1172" s="7">
        <f t="shared" si="120"/>
        <v>-2.21606648199446</v>
      </c>
      <c r="K1172" s="7">
        <f t="shared" si="121"/>
        <v>65.676985788256033</v>
      </c>
      <c r="L1172" s="2" t="str">
        <f t="shared" si="116"/>
        <v>Normal</v>
      </c>
      <c r="M1172" s="2" t="str">
        <f t="shared" si="117"/>
        <v>Normal</v>
      </c>
      <c r="N1172" s="2" t="str">
        <f t="shared" si="118"/>
        <v>No</v>
      </c>
    </row>
    <row r="1173" spans="1:14" x14ac:dyDescent="0.25">
      <c r="A1173" s="3">
        <v>45203</v>
      </c>
      <c r="B1173" s="4">
        <v>2023</v>
      </c>
      <c r="C1173" s="5">
        <v>1780</v>
      </c>
      <c r="D1173" s="5">
        <v>1780</v>
      </c>
      <c r="E1173" s="5">
        <v>1735</v>
      </c>
      <c r="F1173" s="5">
        <v>1740</v>
      </c>
      <c r="G1173" s="5">
        <v>1529.21</v>
      </c>
      <c r="H1173" s="6">
        <v>34753800</v>
      </c>
      <c r="I1173" s="22" t="str">
        <f t="shared" si="119"/>
        <v>-</v>
      </c>
      <c r="J1173" s="7">
        <f t="shared" si="120"/>
        <v>-1.41643059490085</v>
      </c>
      <c r="K1173" s="7">
        <f t="shared" si="121"/>
        <v>-17.464697751960443</v>
      </c>
      <c r="L1173" s="2" t="str">
        <f t="shared" si="116"/>
        <v>Normal</v>
      </c>
      <c r="M1173" s="2" t="str">
        <f t="shared" si="117"/>
        <v>Normal</v>
      </c>
      <c r="N1173" s="2" t="str">
        <f t="shared" si="118"/>
        <v>No</v>
      </c>
    </row>
    <row r="1174" spans="1:14" x14ac:dyDescent="0.25">
      <c r="A1174" s="3">
        <v>45204</v>
      </c>
      <c r="B1174" s="4">
        <v>2023</v>
      </c>
      <c r="C1174" s="5">
        <v>1745</v>
      </c>
      <c r="D1174" s="5">
        <v>1760</v>
      </c>
      <c r="E1174" s="5">
        <v>1705</v>
      </c>
      <c r="F1174" s="5">
        <v>1705</v>
      </c>
      <c r="G1174" s="5">
        <v>1498.45</v>
      </c>
      <c r="H1174" s="6">
        <v>44516900</v>
      </c>
      <c r="I1174" s="22" t="str">
        <f t="shared" si="119"/>
        <v>-</v>
      </c>
      <c r="J1174" s="7">
        <f t="shared" si="120"/>
        <v>-2.0114942528735633</v>
      </c>
      <c r="K1174" s="7">
        <f t="shared" si="121"/>
        <v>28.09217984795907</v>
      </c>
      <c r="L1174" s="2" t="str">
        <f t="shared" si="116"/>
        <v>Normal</v>
      </c>
      <c r="M1174" s="2" t="str">
        <f t="shared" si="117"/>
        <v>Normal</v>
      </c>
      <c r="N1174" s="2" t="str">
        <f t="shared" si="118"/>
        <v>No</v>
      </c>
    </row>
    <row r="1175" spans="1:14" x14ac:dyDescent="0.25">
      <c r="A1175" s="3">
        <v>45205</v>
      </c>
      <c r="B1175" s="4">
        <v>2023</v>
      </c>
      <c r="C1175" s="5">
        <v>1705</v>
      </c>
      <c r="D1175" s="5">
        <v>1740</v>
      </c>
      <c r="E1175" s="5">
        <v>1705</v>
      </c>
      <c r="F1175" s="5">
        <v>1715</v>
      </c>
      <c r="G1175" s="5">
        <v>1507.24</v>
      </c>
      <c r="H1175" s="6">
        <v>33650000</v>
      </c>
      <c r="I1175" s="22" t="str">
        <f t="shared" si="119"/>
        <v>+</v>
      </c>
      <c r="J1175" s="7">
        <f t="shared" si="120"/>
        <v>0.5865102639296188</v>
      </c>
      <c r="K1175" s="7">
        <f t="shared" si="121"/>
        <v>-24.410729408381986</v>
      </c>
      <c r="L1175" s="2" t="str">
        <f t="shared" si="116"/>
        <v>Normal</v>
      </c>
      <c r="M1175" s="2" t="str">
        <f t="shared" si="117"/>
        <v>Normal</v>
      </c>
      <c r="N1175" s="2" t="str">
        <f t="shared" si="118"/>
        <v>No</v>
      </c>
    </row>
    <row r="1176" spans="1:14" x14ac:dyDescent="0.25">
      <c r="A1176" s="3">
        <v>45208</v>
      </c>
      <c r="B1176" s="4">
        <v>2023</v>
      </c>
      <c r="C1176" s="5">
        <v>1735</v>
      </c>
      <c r="D1176" s="5">
        <v>1835</v>
      </c>
      <c r="E1176" s="5">
        <v>1735</v>
      </c>
      <c r="F1176" s="5">
        <v>1810</v>
      </c>
      <c r="G1176" s="5">
        <v>1590.73</v>
      </c>
      <c r="H1176" s="6">
        <v>63728500</v>
      </c>
      <c r="I1176" s="22" t="str">
        <f t="shared" si="119"/>
        <v>+</v>
      </c>
      <c r="J1176" s="7">
        <f t="shared" si="120"/>
        <v>5.5393586005830908</v>
      </c>
      <c r="K1176" s="7">
        <f t="shared" si="121"/>
        <v>89.38632986627043</v>
      </c>
      <c r="L1176" s="2" t="str">
        <f t="shared" si="116"/>
        <v>Sharp Price Increase</v>
      </c>
      <c r="M1176" s="2" t="str">
        <f t="shared" si="117"/>
        <v>Normal</v>
      </c>
      <c r="N1176" s="2" t="str">
        <f t="shared" si="118"/>
        <v>No</v>
      </c>
    </row>
    <row r="1177" spans="1:14" x14ac:dyDescent="0.25">
      <c r="A1177" s="3">
        <v>45209</v>
      </c>
      <c r="B1177" s="4">
        <v>2023</v>
      </c>
      <c r="C1177" s="5">
        <v>1830</v>
      </c>
      <c r="D1177" s="5">
        <v>1860</v>
      </c>
      <c r="E1177" s="5">
        <v>1815</v>
      </c>
      <c r="F1177" s="5">
        <v>1815</v>
      </c>
      <c r="G1177" s="5">
        <v>1595.13</v>
      </c>
      <c r="H1177" s="6">
        <v>36959900</v>
      </c>
      <c r="I1177" s="22" t="str">
        <f t="shared" si="119"/>
        <v>+</v>
      </c>
      <c r="J1177" s="7">
        <f t="shared" si="120"/>
        <v>0.27624309392265189</v>
      </c>
      <c r="K1177" s="7">
        <f t="shared" si="121"/>
        <v>-42.004126882007263</v>
      </c>
      <c r="L1177" s="2" t="str">
        <f t="shared" si="116"/>
        <v>Normal</v>
      </c>
      <c r="M1177" s="2" t="str">
        <f t="shared" si="117"/>
        <v>Normal</v>
      </c>
      <c r="N1177" s="2" t="str">
        <f t="shared" si="118"/>
        <v>No</v>
      </c>
    </row>
    <row r="1178" spans="1:14" x14ac:dyDescent="0.25">
      <c r="A1178" s="3">
        <v>45210</v>
      </c>
      <c r="B1178" s="4">
        <v>2023</v>
      </c>
      <c r="C1178" s="5">
        <v>1825</v>
      </c>
      <c r="D1178" s="5">
        <v>1850</v>
      </c>
      <c r="E1178" s="5">
        <v>1815</v>
      </c>
      <c r="F1178" s="5">
        <v>1815</v>
      </c>
      <c r="G1178" s="5">
        <v>1595.13</v>
      </c>
      <c r="H1178" s="6">
        <v>27092400</v>
      </c>
      <c r="I1178" s="22" t="str">
        <f t="shared" si="119"/>
        <v>0</v>
      </c>
      <c r="J1178" s="7">
        <f t="shared" si="120"/>
        <v>0</v>
      </c>
      <c r="K1178" s="7">
        <f t="shared" si="121"/>
        <v>-26.69785361973382</v>
      </c>
      <c r="L1178" s="2" t="str">
        <f t="shared" si="116"/>
        <v>Normal</v>
      </c>
      <c r="M1178" s="2" t="str">
        <f t="shared" si="117"/>
        <v>Normal</v>
      </c>
      <c r="N1178" s="2" t="str">
        <f t="shared" si="118"/>
        <v>No</v>
      </c>
    </row>
    <row r="1179" spans="1:14" x14ac:dyDescent="0.25">
      <c r="A1179" s="3">
        <v>45211</v>
      </c>
      <c r="B1179" s="4">
        <v>2023</v>
      </c>
      <c r="C1179" s="5">
        <v>1825</v>
      </c>
      <c r="D1179" s="5">
        <v>1835</v>
      </c>
      <c r="E1179" s="5">
        <v>1775</v>
      </c>
      <c r="F1179" s="5">
        <v>1775</v>
      </c>
      <c r="G1179" s="5">
        <v>1559.97</v>
      </c>
      <c r="H1179" s="6">
        <v>41983500</v>
      </c>
      <c r="I1179" s="22" t="str">
        <f t="shared" si="119"/>
        <v>-</v>
      </c>
      <c r="J1179" s="7">
        <f t="shared" si="120"/>
        <v>-2.2038567493112948</v>
      </c>
      <c r="K1179" s="7">
        <f t="shared" si="121"/>
        <v>54.964122779820165</v>
      </c>
      <c r="L1179" s="2" t="str">
        <f t="shared" si="116"/>
        <v>Normal</v>
      </c>
      <c r="M1179" s="2" t="str">
        <f t="shared" si="117"/>
        <v>Normal</v>
      </c>
      <c r="N1179" s="2" t="str">
        <f t="shared" si="118"/>
        <v>No</v>
      </c>
    </row>
    <row r="1180" spans="1:14" x14ac:dyDescent="0.25">
      <c r="A1180" s="3">
        <v>45212</v>
      </c>
      <c r="B1180" s="4">
        <v>2023</v>
      </c>
      <c r="C1180" s="5">
        <v>1775</v>
      </c>
      <c r="D1180" s="5">
        <v>1775</v>
      </c>
      <c r="E1180" s="5">
        <v>1750</v>
      </c>
      <c r="F1180" s="5">
        <v>1755</v>
      </c>
      <c r="G1180" s="5">
        <v>1542.39</v>
      </c>
      <c r="H1180" s="6">
        <v>32334300</v>
      </c>
      <c r="I1180" s="22" t="str">
        <f t="shared" si="119"/>
        <v>-</v>
      </c>
      <c r="J1180" s="7">
        <f t="shared" si="120"/>
        <v>-1.1267605633802817</v>
      </c>
      <c r="K1180" s="7">
        <f t="shared" si="121"/>
        <v>-22.983314873700383</v>
      </c>
      <c r="L1180" s="2" t="str">
        <f t="shared" si="116"/>
        <v>Normal</v>
      </c>
      <c r="M1180" s="2" t="str">
        <f t="shared" si="117"/>
        <v>Normal</v>
      </c>
      <c r="N1180" s="2" t="str">
        <f t="shared" si="118"/>
        <v>No</v>
      </c>
    </row>
    <row r="1181" spans="1:14" x14ac:dyDescent="0.25">
      <c r="A1181" s="3">
        <v>45215</v>
      </c>
      <c r="B1181" s="4">
        <v>2023</v>
      </c>
      <c r="C1181" s="5">
        <v>1785</v>
      </c>
      <c r="D1181" s="5">
        <v>1820</v>
      </c>
      <c r="E1181" s="5">
        <v>1785</v>
      </c>
      <c r="F1181" s="5">
        <v>1805</v>
      </c>
      <c r="G1181" s="5">
        <v>1586.34</v>
      </c>
      <c r="H1181" s="6">
        <v>47543000</v>
      </c>
      <c r="I1181" s="22" t="str">
        <f t="shared" si="119"/>
        <v>+</v>
      </c>
      <c r="J1181" s="7">
        <f t="shared" si="120"/>
        <v>2.8490028490028489</v>
      </c>
      <c r="K1181" s="7">
        <f t="shared" si="121"/>
        <v>47.035810269589881</v>
      </c>
      <c r="L1181" s="2" t="str">
        <f t="shared" si="116"/>
        <v>Normal</v>
      </c>
      <c r="M1181" s="2" t="str">
        <f t="shared" si="117"/>
        <v>Normal</v>
      </c>
      <c r="N1181" s="2" t="str">
        <f t="shared" si="118"/>
        <v>No</v>
      </c>
    </row>
    <row r="1182" spans="1:14" x14ac:dyDescent="0.25">
      <c r="A1182" s="3">
        <v>45216</v>
      </c>
      <c r="B1182" s="4">
        <v>2023</v>
      </c>
      <c r="C1182" s="5">
        <v>1810</v>
      </c>
      <c r="D1182" s="5">
        <v>1820</v>
      </c>
      <c r="E1182" s="5">
        <v>1790</v>
      </c>
      <c r="F1182" s="5">
        <v>1810</v>
      </c>
      <c r="G1182" s="5">
        <v>1590.73</v>
      </c>
      <c r="H1182" s="6">
        <v>22543800</v>
      </c>
      <c r="I1182" s="22" t="str">
        <f t="shared" si="119"/>
        <v>+</v>
      </c>
      <c r="J1182" s="7">
        <f t="shared" si="120"/>
        <v>0.2770083102493075</v>
      </c>
      <c r="K1182" s="7">
        <f t="shared" si="121"/>
        <v>-52.58229392339566</v>
      </c>
      <c r="L1182" s="2" t="str">
        <f t="shared" si="116"/>
        <v>Normal</v>
      </c>
      <c r="M1182" s="2" t="str">
        <f t="shared" si="117"/>
        <v>Normal</v>
      </c>
      <c r="N1182" s="2" t="str">
        <f t="shared" si="118"/>
        <v>No</v>
      </c>
    </row>
    <row r="1183" spans="1:14" x14ac:dyDescent="0.25">
      <c r="A1183" s="3">
        <v>45217</v>
      </c>
      <c r="B1183" s="4">
        <v>2023</v>
      </c>
      <c r="C1183" s="5">
        <v>1815</v>
      </c>
      <c r="D1183" s="5">
        <v>1850</v>
      </c>
      <c r="E1183" s="5">
        <v>1815</v>
      </c>
      <c r="F1183" s="5">
        <v>1850</v>
      </c>
      <c r="G1183" s="5">
        <v>1625.89</v>
      </c>
      <c r="H1183" s="6">
        <v>28110900</v>
      </c>
      <c r="I1183" s="22" t="str">
        <f t="shared" si="119"/>
        <v>+</v>
      </c>
      <c r="J1183" s="7">
        <f t="shared" si="120"/>
        <v>2.2099447513812152</v>
      </c>
      <c r="K1183" s="7">
        <f t="shared" si="121"/>
        <v>24.694594522662548</v>
      </c>
      <c r="L1183" s="2" t="str">
        <f t="shared" si="116"/>
        <v>Normal</v>
      </c>
      <c r="M1183" s="2" t="str">
        <f t="shared" si="117"/>
        <v>Normal</v>
      </c>
      <c r="N1183" s="2" t="str">
        <f t="shared" si="118"/>
        <v>No</v>
      </c>
    </row>
    <row r="1184" spans="1:14" x14ac:dyDescent="0.25">
      <c r="A1184" s="3">
        <v>45218</v>
      </c>
      <c r="B1184" s="4">
        <v>2023</v>
      </c>
      <c r="C1184" s="5">
        <v>1850</v>
      </c>
      <c r="D1184" s="5">
        <v>1850</v>
      </c>
      <c r="E1184" s="5">
        <v>1795</v>
      </c>
      <c r="F1184" s="5">
        <v>1815</v>
      </c>
      <c r="G1184" s="5">
        <v>1595.13</v>
      </c>
      <c r="H1184" s="6">
        <v>32542000</v>
      </c>
      <c r="I1184" s="22" t="str">
        <f t="shared" si="119"/>
        <v>-</v>
      </c>
      <c r="J1184" s="7">
        <f t="shared" si="120"/>
        <v>-1.8918918918918921</v>
      </c>
      <c r="K1184" s="7">
        <f t="shared" si="121"/>
        <v>15.76292470180606</v>
      </c>
      <c r="L1184" s="2" t="str">
        <f t="shared" si="116"/>
        <v>Normal</v>
      </c>
      <c r="M1184" s="2" t="str">
        <f t="shared" si="117"/>
        <v>Normal</v>
      </c>
      <c r="N1184" s="2" t="str">
        <f t="shared" si="118"/>
        <v>No</v>
      </c>
    </row>
    <row r="1185" spans="1:14" x14ac:dyDescent="0.25">
      <c r="A1185" s="3">
        <v>45219</v>
      </c>
      <c r="B1185" s="4">
        <v>2023</v>
      </c>
      <c r="C1185" s="5">
        <v>1825</v>
      </c>
      <c r="D1185" s="5">
        <v>1845</v>
      </c>
      <c r="E1185" s="5">
        <v>1805</v>
      </c>
      <c r="F1185" s="5">
        <v>1825</v>
      </c>
      <c r="G1185" s="5">
        <v>1603.91</v>
      </c>
      <c r="H1185" s="6">
        <v>17059500</v>
      </c>
      <c r="I1185" s="22" t="str">
        <f t="shared" si="119"/>
        <v>+</v>
      </c>
      <c r="J1185" s="7">
        <f t="shared" si="120"/>
        <v>0.55096418732782371</v>
      </c>
      <c r="K1185" s="7">
        <f t="shared" si="121"/>
        <v>-47.57697744453322</v>
      </c>
      <c r="L1185" s="2" t="str">
        <f t="shared" si="116"/>
        <v>Normal</v>
      </c>
      <c r="M1185" s="2" t="str">
        <f t="shared" si="117"/>
        <v>Normal</v>
      </c>
      <c r="N1185" s="2" t="str">
        <f t="shared" si="118"/>
        <v>No</v>
      </c>
    </row>
    <row r="1186" spans="1:14" x14ac:dyDescent="0.25">
      <c r="A1186" s="3">
        <v>45222</v>
      </c>
      <c r="B1186" s="4">
        <v>2023</v>
      </c>
      <c r="C1186" s="5">
        <v>1825</v>
      </c>
      <c r="D1186" s="5">
        <v>1825</v>
      </c>
      <c r="E1186" s="5">
        <v>1745</v>
      </c>
      <c r="F1186" s="5">
        <v>1750</v>
      </c>
      <c r="G1186" s="5">
        <v>1538</v>
      </c>
      <c r="H1186" s="6">
        <v>37513800</v>
      </c>
      <c r="I1186" s="22" t="str">
        <f t="shared" si="119"/>
        <v>-</v>
      </c>
      <c r="J1186" s="7">
        <f t="shared" si="120"/>
        <v>-4.10958904109589</v>
      </c>
      <c r="K1186" s="7">
        <f t="shared" si="121"/>
        <v>119.89976259562121</v>
      </c>
      <c r="L1186" s="2" t="str">
        <f t="shared" si="116"/>
        <v>Normal</v>
      </c>
      <c r="M1186" s="2" t="str">
        <f t="shared" si="117"/>
        <v>Normal</v>
      </c>
      <c r="N1186" s="2" t="str">
        <f t="shared" si="118"/>
        <v>No</v>
      </c>
    </row>
    <row r="1187" spans="1:14" x14ac:dyDescent="0.25">
      <c r="A1187" s="3">
        <v>45223</v>
      </c>
      <c r="B1187" s="4">
        <v>2023</v>
      </c>
      <c r="C1187" s="5">
        <v>1745</v>
      </c>
      <c r="D1187" s="5">
        <v>1780</v>
      </c>
      <c r="E1187" s="5">
        <v>1735</v>
      </c>
      <c r="F1187" s="5">
        <v>1765</v>
      </c>
      <c r="G1187" s="5">
        <v>1551.18</v>
      </c>
      <c r="H1187" s="6">
        <v>18292500</v>
      </c>
      <c r="I1187" s="22" t="str">
        <f t="shared" si="119"/>
        <v>+</v>
      </c>
      <c r="J1187" s="7">
        <f t="shared" si="120"/>
        <v>0.85714285714285721</v>
      </c>
      <c r="K1187" s="7">
        <f t="shared" si="121"/>
        <v>-51.237944436447393</v>
      </c>
      <c r="L1187" s="2" t="str">
        <f t="shared" si="116"/>
        <v>Normal</v>
      </c>
      <c r="M1187" s="2" t="str">
        <f t="shared" si="117"/>
        <v>Normal</v>
      </c>
      <c r="N1187" s="2" t="str">
        <f t="shared" si="118"/>
        <v>No</v>
      </c>
    </row>
    <row r="1188" spans="1:14" x14ac:dyDescent="0.25">
      <c r="A1188" s="3">
        <v>45224</v>
      </c>
      <c r="B1188" s="4">
        <v>2023</v>
      </c>
      <c r="C1188" s="5">
        <v>1770</v>
      </c>
      <c r="D1188" s="5">
        <v>1780</v>
      </c>
      <c r="E1188" s="5">
        <v>1730</v>
      </c>
      <c r="F1188" s="5">
        <v>1730</v>
      </c>
      <c r="G1188" s="5">
        <v>1520.42</v>
      </c>
      <c r="H1188" s="6">
        <v>30552900</v>
      </c>
      <c r="I1188" s="22" t="str">
        <f t="shared" si="119"/>
        <v>-</v>
      </c>
      <c r="J1188" s="7">
        <f t="shared" si="120"/>
        <v>-1.9830028328611897</v>
      </c>
      <c r="K1188" s="7">
        <f t="shared" si="121"/>
        <v>67.024190241902417</v>
      </c>
      <c r="L1188" s="2" t="str">
        <f t="shared" si="116"/>
        <v>Normal</v>
      </c>
      <c r="M1188" s="2" t="str">
        <f t="shared" si="117"/>
        <v>Normal</v>
      </c>
      <c r="N1188" s="2" t="str">
        <f t="shared" si="118"/>
        <v>No</v>
      </c>
    </row>
    <row r="1189" spans="1:14" x14ac:dyDescent="0.25">
      <c r="A1189" s="3">
        <v>45225</v>
      </c>
      <c r="B1189" s="4">
        <v>2023</v>
      </c>
      <c r="C1189" s="5">
        <v>1735</v>
      </c>
      <c r="D1189" s="5">
        <v>1755</v>
      </c>
      <c r="E1189" s="5">
        <v>1730</v>
      </c>
      <c r="F1189" s="5">
        <v>1730</v>
      </c>
      <c r="G1189" s="5">
        <v>1520.42</v>
      </c>
      <c r="H1189" s="6">
        <v>16159400</v>
      </c>
      <c r="I1189" s="22" t="str">
        <f t="shared" si="119"/>
        <v>0</v>
      </c>
      <c r="J1189" s="7">
        <f t="shared" si="120"/>
        <v>0</v>
      </c>
      <c r="K1189" s="7">
        <f t="shared" si="121"/>
        <v>-47.11009429546786</v>
      </c>
      <c r="L1189" s="2" t="str">
        <f t="shared" si="116"/>
        <v>Normal</v>
      </c>
      <c r="M1189" s="2" t="str">
        <f t="shared" si="117"/>
        <v>Normal</v>
      </c>
      <c r="N1189" s="2" t="str">
        <f t="shared" si="118"/>
        <v>No</v>
      </c>
    </row>
    <row r="1190" spans="1:14" x14ac:dyDescent="0.25">
      <c r="A1190" s="3">
        <v>45226</v>
      </c>
      <c r="B1190" s="4">
        <v>2023</v>
      </c>
      <c r="C1190" s="5">
        <v>1735</v>
      </c>
      <c r="D1190" s="5">
        <v>1745</v>
      </c>
      <c r="E1190" s="5">
        <v>1725</v>
      </c>
      <c r="F1190" s="5">
        <v>1725</v>
      </c>
      <c r="G1190" s="5">
        <v>1516.03</v>
      </c>
      <c r="H1190" s="6">
        <v>11293000</v>
      </c>
      <c r="I1190" s="22" t="str">
        <f t="shared" si="119"/>
        <v>-</v>
      </c>
      <c r="J1190" s="7">
        <f t="shared" si="120"/>
        <v>-0.28901734104046239</v>
      </c>
      <c r="K1190" s="7">
        <f t="shared" si="121"/>
        <v>-30.114979516566208</v>
      </c>
      <c r="L1190" s="2" t="str">
        <f t="shared" si="116"/>
        <v>Normal</v>
      </c>
      <c r="M1190" s="2" t="str">
        <f t="shared" si="117"/>
        <v>Normal</v>
      </c>
      <c r="N1190" s="2" t="str">
        <f t="shared" si="118"/>
        <v>No</v>
      </c>
    </row>
    <row r="1191" spans="1:14" x14ac:dyDescent="0.25">
      <c r="A1191" s="3">
        <v>45229</v>
      </c>
      <c r="B1191" s="4">
        <v>2023</v>
      </c>
      <c r="C1191" s="5">
        <v>1730</v>
      </c>
      <c r="D1191" s="5">
        <v>1745</v>
      </c>
      <c r="E1191" s="5">
        <v>1715</v>
      </c>
      <c r="F1191" s="5">
        <v>1725</v>
      </c>
      <c r="G1191" s="5">
        <v>1516.03</v>
      </c>
      <c r="H1191" s="6">
        <v>14473600</v>
      </c>
      <c r="I1191" s="22" t="str">
        <f t="shared" si="119"/>
        <v>0</v>
      </c>
      <c r="J1191" s="7">
        <f t="shared" si="120"/>
        <v>0</v>
      </c>
      <c r="K1191" s="7">
        <f t="shared" si="121"/>
        <v>28.164349597095544</v>
      </c>
      <c r="L1191" s="2" t="str">
        <f t="shared" si="116"/>
        <v>Normal</v>
      </c>
      <c r="M1191" s="2" t="str">
        <f t="shared" si="117"/>
        <v>Normal</v>
      </c>
      <c r="N1191" s="2" t="str">
        <f t="shared" si="118"/>
        <v>No</v>
      </c>
    </row>
    <row r="1192" spans="1:14" x14ac:dyDescent="0.25">
      <c r="A1192" s="3">
        <v>45230</v>
      </c>
      <c r="B1192" s="4">
        <v>2023</v>
      </c>
      <c r="C1192" s="5">
        <v>1725</v>
      </c>
      <c r="D1192" s="5">
        <v>1740</v>
      </c>
      <c r="E1192" s="5">
        <v>1705</v>
      </c>
      <c r="F1192" s="5">
        <v>1705</v>
      </c>
      <c r="G1192" s="5">
        <v>1498.45</v>
      </c>
      <c r="H1192" s="6">
        <v>34363300</v>
      </c>
      <c r="I1192" s="22" t="str">
        <f t="shared" si="119"/>
        <v>-</v>
      </c>
      <c r="J1192" s="7">
        <f t="shared" si="120"/>
        <v>-1.1594202898550725</v>
      </c>
      <c r="K1192" s="7">
        <f t="shared" si="121"/>
        <v>137.42054499226177</v>
      </c>
      <c r="L1192" s="2" t="str">
        <f t="shared" si="116"/>
        <v>Normal</v>
      </c>
      <c r="M1192" s="2" t="str">
        <f t="shared" si="117"/>
        <v>Normal</v>
      </c>
      <c r="N1192" s="2" t="str">
        <f t="shared" si="118"/>
        <v>No</v>
      </c>
    </row>
    <row r="1193" spans="1:14" x14ac:dyDescent="0.25">
      <c r="A1193" s="3">
        <v>45231</v>
      </c>
      <c r="B1193" s="4">
        <v>2023</v>
      </c>
      <c r="C1193" s="5">
        <v>1705</v>
      </c>
      <c r="D1193" s="5">
        <v>1715</v>
      </c>
      <c r="E1193" s="5">
        <v>1650</v>
      </c>
      <c r="F1193" s="5">
        <v>1650</v>
      </c>
      <c r="G1193" s="5">
        <v>1450.11</v>
      </c>
      <c r="H1193" s="6">
        <v>43647900</v>
      </c>
      <c r="I1193" s="22" t="str">
        <f t="shared" si="119"/>
        <v>-</v>
      </c>
      <c r="J1193" s="7">
        <f t="shared" si="120"/>
        <v>-3.225806451612903</v>
      </c>
      <c r="K1193" s="7">
        <f t="shared" si="121"/>
        <v>27.018941719799905</v>
      </c>
      <c r="L1193" s="2" t="str">
        <f t="shared" si="116"/>
        <v>Normal</v>
      </c>
      <c r="M1193" s="2" t="str">
        <f t="shared" si="117"/>
        <v>Normal</v>
      </c>
      <c r="N1193" s="2" t="str">
        <f t="shared" si="118"/>
        <v>No</v>
      </c>
    </row>
    <row r="1194" spans="1:14" x14ac:dyDescent="0.25">
      <c r="A1194" s="3">
        <v>45232</v>
      </c>
      <c r="B1194" s="4">
        <v>2023</v>
      </c>
      <c r="C1194" s="5">
        <v>1655</v>
      </c>
      <c r="D1194" s="5">
        <v>1685</v>
      </c>
      <c r="E1194" s="5">
        <v>1650</v>
      </c>
      <c r="F1194" s="5">
        <v>1650</v>
      </c>
      <c r="G1194" s="5">
        <v>1450.11</v>
      </c>
      <c r="H1194" s="6">
        <v>31660400</v>
      </c>
      <c r="I1194" s="22" t="str">
        <f t="shared" si="119"/>
        <v>0</v>
      </c>
      <c r="J1194" s="7">
        <f t="shared" si="120"/>
        <v>0</v>
      </c>
      <c r="K1194" s="7">
        <f t="shared" si="121"/>
        <v>-27.464093346988054</v>
      </c>
      <c r="L1194" s="2" t="str">
        <f t="shared" si="116"/>
        <v>Normal</v>
      </c>
      <c r="M1194" s="2" t="str">
        <f t="shared" si="117"/>
        <v>Normal</v>
      </c>
      <c r="N1194" s="2" t="str">
        <f t="shared" si="118"/>
        <v>No</v>
      </c>
    </row>
    <row r="1195" spans="1:14" x14ac:dyDescent="0.25">
      <c r="A1195" s="3">
        <v>45233</v>
      </c>
      <c r="B1195" s="4">
        <v>2023</v>
      </c>
      <c r="C1195" s="5">
        <v>1660</v>
      </c>
      <c r="D1195" s="5">
        <v>1675</v>
      </c>
      <c r="E1195" s="5">
        <v>1650</v>
      </c>
      <c r="F1195" s="5">
        <v>1655</v>
      </c>
      <c r="G1195" s="5">
        <v>1454.51</v>
      </c>
      <c r="H1195" s="6">
        <v>27879000</v>
      </c>
      <c r="I1195" s="22" t="str">
        <f t="shared" si="119"/>
        <v>+</v>
      </c>
      <c r="J1195" s="7">
        <f t="shared" si="120"/>
        <v>0.30303030303030304</v>
      </c>
      <c r="K1195" s="7">
        <f t="shared" si="121"/>
        <v>-11.943626738765145</v>
      </c>
      <c r="L1195" s="2" t="str">
        <f t="shared" si="116"/>
        <v>Normal</v>
      </c>
      <c r="M1195" s="2" t="str">
        <f t="shared" si="117"/>
        <v>Normal</v>
      </c>
      <c r="N1195" s="2" t="str">
        <f t="shared" si="118"/>
        <v>No</v>
      </c>
    </row>
    <row r="1196" spans="1:14" x14ac:dyDescent="0.25">
      <c r="A1196" s="3">
        <v>45236</v>
      </c>
      <c r="B1196" s="4">
        <v>2023</v>
      </c>
      <c r="C1196" s="5">
        <v>1665</v>
      </c>
      <c r="D1196" s="5">
        <v>1700</v>
      </c>
      <c r="E1196" s="5">
        <v>1660</v>
      </c>
      <c r="F1196" s="5">
        <v>1700</v>
      </c>
      <c r="G1196" s="5">
        <v>1494.06</v>
      </c>
      <c r="H1196" s="6">
        <v>36428600</v>
      </c>
      <c r="I1196" s="22" t="str">
        <f t="shared" si="119"/>
        <v>+</v>
      </c>
      <c r="J1196" s="7">
        <f t="shared" si="120"/>
        <v>2.7190332326283988</v>
      </c>
      <c r="K1196" s="7">
        <f t="shared" si="121"/>
        <v>30.66681014383586</v>
      </c>
      <c r="L1196" s="2" t="str">
        <f t="shared" si="116"/>
        <v>Normal</v>
      </c>
      <c r="M1196" s="2" t="str">
        <f t="shared" si="117"/>
        <v>Normal</v>
      </c>
      <c r="N1196" s="2" t="str">
        <f t="shared" si="118"/>
        <v>No</v>
      </c>
    </row>
    <row r="1197" spans="1:14" x14ac:dyDescent="0.25">
      <c r="A1197" s="3">
        <v>45237</v>
      </c>
      <c r="B1197" s="4">
        <v>2023</v>
      </c>
      <c r="C1197" s="5">
        <v>1710</v>
      </c>
      <c r="D1197" s="5">
        <v>1715</v>
      </c>
      <c r="E1197" s="5">
        <v>1675</v>
      </c>
      <c r="F1197" s="5">
        <v>1690</v>
      </c>
      <c r="G1197" s="5">
        <v>1485.27</v>
      </c>
      <c r="H1197" s="6">
        <v>22153500</v>
      </c>
      <c r="I1197" s="22" t="str">
        <f t="shared" si="119"/>
        <v>-</v>
      </c>
      <c r="J1197" s="7">
        <f t="shared" si="120"/>
        <v>-0.58823529411764708</v>
      </c>
      <c r="K1197" s="7">
        <f t="shared" si="121"/>
        <v>-39.1865182850837</v>
      </c>
      <c r="L1197" s="2" t="str">
        <f t="shared" si="116"/>
        <v>Normal</v>
      </c>
      <c r="M1197" s="2" t="str">
        <f t="shared" si="117"/>
        <v>Normal</v>
      </c>
      <c r="N1197" s="2" t="str">
        <f t="shared" si="118"/>
        <v>No</v>
      </c>
    </row>
    <row r="1198" spans="1:14" x14ac:dyDescent="0.25">
      <c r="A1198" s="3">
        <v>45238</v>
      </c>
      <c r="B1198" s="4">
        <v>2023</v>
      </c>
      <c r="C1198" s="5">
        <v>1680</v>
      </c>
      <c r="D1198" s="5">
        <v>1685</v>
      </c>
      <c r="E1198" s="5">
        <v>1650</v>
      </c>
      <c r="F1198" s="5">
        <v>1660</v>
      </c>
      <c r="G1198" s="5">
        <v>1458.9</v>
      </c>
      <c r="H1198" s="6">
        <v>29121500</v>
      </c>
      <c r="I1198" s="22" t="str">
        <f t="shared" si="119"/>
        <v>-</v>
      </c>
      <c r="J1198" s="7">
        <f t="shared" si="120"/>
        <v>-1.7751479289940828</v>
      </c>
      <c r="K1198" s="7">
        <f t="shared" si="121"/>
        <v>31.453269235109577</v>
      </c>
      <c r="L1198" s="2" t="str">
        <f t="shared" si="116"/>
        <v>Normal</v>
      </c>
      <c r="M1198" s="2" t="str">
        <f t="shared" si="117"/>
        <v>Normal</v>
      </c>
      <c r="N1198" s="2" t="str">
        <f t="shared" si="118"/>
        <v>No</v>
      </c>
    </row>
    <row r="1199" spans="1:14" x14ac:dyDescent="0.25">
      <c r="A1199" s="3">
        <v>45239</v>
      </c>
      <c r="B1199" s="4">
        <v>2023</v>
      </c>
      <c r="C1199" s="5">
        <v>1660</v>
      </c>
      <c r="D1199" s="5">
        <v>1670</v>
      </c>
      <c r="E1199" s="5">
        <v>1650</v>
      </c>
      <c r="F1199" s="5">
        <v>1655</v>
      </c>
      <c r="G1199" s="5">
        <v>1454.51</v>
      </c>
      <c r="H1199" s="6">
        <v>15805800</v>
      </c>
      <c r="I1199" s="22" t="str">
        <f t="shared" si="119"/>
        <v>-</v>
      </c>
      <c r="J1199" s="7">
        <f t="shared" si="120"/>
        <v>-0.30120481927710846</v>
      </c>
      <c r="K1199" s="7">
        <f t="shared" si="121"/>
        <v>-45.724636436996718</v>
      </c>
      <c r="L1199" s="2" t="str">
        <f t="shared" si="116"/>
        <v>Normal</v>
      </c>
      <c r="M1199" s="2" t="str">
        <f t="shared" si="117"/>
        <v>Normal</v>
      </c>
      <c r="N1199" s="2" t="str">
        <f t="shared" si="118"/>
        <v>No</v>
      </c>
    </row>
    <row r="1200" spans="1:14" x14ac:dyDescent="0.25">
      <c r="A1200" s="3">
        <v>45240</v>
      </c>
      <c r="B1200" s="4">
        <v>2023</v>
      </c>
      <c r="C1200" s="5">
        <v>1655</v>
      </c>
      <c r="D1200" s="5">
        <v>1665</v>
      </c>
      <c r="E1200" s="5">
        <v>1625</v>
      </c>
      <c r="F1200" s="5">
        <v>1625</v>
      </c>
      <c r="G1200" s="5">
        <v>1428.14</v>
      </c>
      <c r="H1200" s="6">
        <v>22031500</v>
      </c>
      <c r="I1200" s="22" t="str">
        <f t="shared" si="119"/>
        <v>-</v>
      </c>
      <c r="J1200" s="7">
        <f t="shared" si="120"/>
        <v>-1.8126888217522661</v>
      </c>
      <c r="K1200" s="7">
        <f t="shared" si="121"/>
        <v>39.388705411937394</v>
      </c>
      <c r="L1200" s="2" t="str">
        <f t="shared" si="116"/>
        <v>Normal</v>
      </c>
      <c r="M1200" s="2" t="str">
        <f t="shared" si="117"/>
        <v>Normal</v>
      </c>
      <c r="N1200" s="2" t="str">
        <f t="shared" si="118"/>
        <v>No</v>
      </c>
    </row>
    <row r="1201" spans="1:14" x14ac:dyDescent="0.25">
      <c r="A1201" s="3">
        <v>45243</v>
      </c>
      <c r="B1201" s="4">
        <v>2023</v>
      </c>
      <c r="C1201" s="5">
        <v>1625</v>
      </c>
      <c r="D1201" s="5">
        <v>1635</v>
      </c>
      <c r="E1201" s="5">
        <v>1610</v>
      </c>
      <c r="F1201" s="5">
        <v>1620</v>
      </c>
      <c r="G1201" s="5">
        <v>1423.75</v>
      </c>
      <c r="H1201" s="6">
        <v>25305600</v>
      </c>
      <c r="I1201" s="22" t="str">
        <f t="shared" si="119"/>
        <v>-</v>
      </c>
      <c r="J1201" s="7">
        <f t="shared" si="120"/>
        <v>-0.30769230769230771</v>
      </c>
      <c r="K1201" s="7">
        <f t="shared" si="121"/>
        <v>14.860994485168963</v>
      </c>
      <c r="L1201" s="2" t="str">
        <f t="shared" si="116"/>
        <v>Normal</v>
      </c>
      <c r="M1201" s="2" t="str">
        <f t="shared" si="117"/>
        <v>Normal</v>
      </c>
      <c r="N1201" s="2" t="str">
        <f t="shared" si="118"/>
        <v>No</v>
      </c>
    </row>
    <row r="1202" spans="1:14" x14ac:dyDescent="0.25">
      <c r="A1202" s="3">
        <v>45244</v>
      </c>
      <c r="B1202" s="4">
        <v>2023</v>
      </c>
      <c r="C1202" s="5">
        <v>1620</v>
      </c>
      <c r="D1202" s="5">
        <v>1640</v>
      </c>
      <c r="E1202" s="5">
        <v>1610</v>
      </c>
      <c r="F1202" s="5">
        <v>1620</v>
      </c>
      <c r="G1202" s="5">
        <v>1423.75</v>
      </c>
      <c r="H1202" s="6">
        <v>22911400</v>
      </c>
      <c r="I1202" s="22" t="str">
        <f t="shared" si="119"/>
        <v>0</v>
      </c>
      <c r="J1202" s="7">
        <f t="shared" si="120"/>
        <v>0</v>
      </c>
      <c r="K1202" s="7">
        <f t="shared" si="121"/>
        <v>-9.4611469398077901</v>
      </c>
      <c r="L1202" s="2" t="str">
        <f t="shared" si="116"/>
        <v>Normal</v>
      </c>
      <c r="M1202" s="2" t="str">
        <f t="shared" si="117"/>
        <v>Normal</v>
      </c>
      <c r="N1202" s="2" t="str">
        <f t="shared" si="118"/>
        <v>No</v>
      </c>
    </row>
    <row r="1203" spans="1:14" x14ac:dyDescent="0.25">
      <c r="A1203" s="3">
        <v>45245</v>
      </c>
      <c r="B1203" s="4">
        <v>2023</v>
      </c>
      <c r="C1203" s="5">
        <v>1630</v>
      </c>
      <c r="D1203" s="5">
        <v>1675</v>
      </c>
      <c r="E1203" s="5">
        <v>1630</v>
      </c>
      <c r="F1203" s="5">
        <v>1640</v>
      </c>
      <c r="G1203" s="5">
        <v>1441.33</v>
      </c>
      <c r="H1203" s="6">
        <v>63104500</v>
      </c>
      <c r="I1203" s="22" t="str">
        <f t="shared" si="119"/>
        <v>+</v>
      </c>
      <c r="J1203" s="7">
        <f t="shared" si="120"/>
        <v>1.2345679012345678</v>
      </c>
      <c r="K1203" s="7">
        <f t="shared" si="121"/>
        <v>175.42838936075492</v>
      </c>
      <c r="L1203" s="2" t="str">
        <f t="shared" si="116"/>
        <v>Normal</v>
      </c>
      <c r="M1203" s="2" t="str">
        <f t="shared" si="117"/>
        <v>Sharp Volume Increase</v>
      </c>
      <c r="N1203" s="2" t="str">
        <f t="shared" si="118"/>
        <v>No</v>
      </c>
    </row>
    <row r="1204" spans="1:14" x14ac:dyDescent="0.25">
      <c r="A1204" s="3">
        <v>45246</v>
      </c>
      <c r="B1204" s="4">
        <v>2023</v>
      </c>
      <c r="C1204" s="5">
        <v>1640</v>
      </c>
      <c r="D1204" s="5">
        <v>1655</v>
      </c>
      <c r="E1204" s="5">
        <v>1625</v>
      </c>
      <c r="F1204" s="5">
        <v>1650</v>
      </c>
      <c r="G1204" s="5">
        <v>1450.11</v>
      </c>
      <c r="H1204" s="6">
        <v>18218200</v>
      </c>
      <c r="I1204" s="22" t="str">
        <f t="shared" si="119"/>
        <v>+</v>
      </c>
      <c r="J1204" s="7">
        <f t="shared" si="120"/>
        <v>0.6097560975609756</v>
      </c>
      <c r="K1204" s="7">
        <f t="shared" si="121"/>
        <v>-71.130109580140882</v>
      </c>
      <c r="L1204" s="2" t="str">
        <f t="shared" si="116"/>
        <v>Normal</v>
      </c>
      <c r="M1204" s="2" t="str">
        <f t="shared" si="117"/>
        <v>Sharp Volume Decrease</v>
      </c>
      <c r="N1204" s="2" t="str">
        <f t="shared" si="118"/>
        <v>No</v>
      </c>
    </row>
    <row r="1205" spans="1:14" x14ac:dyDescent="0.25">
      <c r="A1205" s="3">
        <v>45247</v>
      </c>
      <c r="B1205" s="4">
        <v>2023</v>
      </c>
      <c r="C1205" s="5">
        <v>1645</v>
      </c>
      <c r="D1205" s="5">
        <v>1650</v>
      </c>
      <c r="E1205" s="5">
        <v>1620</v>
      </c>
      <c r="F1205" s="5">
        <v>1635</v>
      </c>
      <c r="G1205" s="5">
        <v>1436.93</v>
      </c>
      <c r="H1205" s="6">
        <v>26463700</v>
      </c>
      <c r="I1205" s="22" t="str">
        <f t="shared" si="119"/>
        <v>-</v>
      </c>
      <c r="J1205" s="7">
        <f t="shared" si="120"/>
        <v>-0.90909090909090906</v>
      </c>
      <c r="K1205" s="7">
        <f t="shared" si="121"/>
        <v>45.259685369575479</v>
      </c>
      <c r="L1205" s="2" t="str">
        <f t="shared" si="116"/>
        <v>Normal</v>
      </c>
      <c r="M1205" s="2" t="str">
        <f t="shared" si="117"/>
        <v>Normal</v>
      </c>
      <c r="N1205" s="2" t="str">
        <f t="shared" si="118"/>
        <v>No</v>
      </c>
    </row>
    <row r="1206" spans="1:14" x14ac:dyDescent="0.25">
      <c r="A1206" s="3">
        <v>45250</v>
      </c>
      <c r="B1206" s="4">
        <v>2023</v>
      </c>
      <c r="C1206" s="5">
        <v>1635</v>
      </c>
      <c r="D1206" s="5">
        <v>1640</v>
      </c>
      <c r="E1206" s="5">
        <v>1600</v>
      </c>
      <c r="F1206" s="5">
        <v>1610</v>
      </c>
      <c r="G1206" s="5">
        <v>1414.96</v>
      </c>
      <c r="H1206" s="6">
        <v>32144100</v>
      </c>
      <c r="I1206" s="22" t="str">
        <f t="shared" si="119"/>
        <v>-</v>
      </c>
      <c r="J1206" s="7">
        <f t="shared" si="120"/>
        <v>-1.5290519877675841</v>
      </c>
      <c r="K1206" s="7">
        <f t="shared" si="121"/>
        <v>21.464874526237828</v>
      </c>
      <c r="L1206" s="2" t="str">
        <f t="shared" si="116"/>
        <v>Normal</v>
      </c>
      <c r="M1206" s="2" t="str">
        <f t="shared" si="117"/>
        <v>Normal</v>
      </c>
      <c r="N1206" s="2" t="str">
        <f t="shared" si="118"/>
        <v>No</v>
      </c>
    </row>
    <row r="1207" spans="1:14" x14ac:dyDescent="0.25">
      <c r="A1207" s="3">
        <v>45251</v>
      </c>
      <c r="B1207" s="4">
        <v>2023</v>
      </c>
      <c r="C1207" s="5">
        <v>1615</v>
      </c>
      <c r="D1207" s="5">
        <v>1640</v>
      </c>
      <c r="E1207" s="5">
        <v>1610</v>
      </c>
      <c r="F1207" s="5">
        <v>1620</v>
      </c>
      <c r="G1207" s="5">
        <v>1423.75</v>
      </c>
      <c r="H1207" s="6">
        <v>23501100</v>
      </c>
      <c r="I1207" s="22" t="str">
        <f t="shared" si="119"/>
        <v>+</v>
      </c>
      <c r="J1207" s="7">
        <f t="shared" si="120"/>
        <v>0.6211180124223602</v>
      </c>
      <c r="K1207" s="7">
        <f t="shared" si="121"/>
        <v>-26.88829365264543</v>
      </c>
      <c r="L1207" s="2" t="str">
        <f t="shared" si="116"/>
        <v>Normal</v>
      </c>
      <c r="M1207" s="2" t="str">
        <f t="shared" si="117"/>
        <v>Normal</v>
      </c>
      <c r="N1207" s="2" t="str">
        <f t="shared" si="118"/>
        <v>No</v>
      </c>
    </row>
    <row r="1208" spans="1:14" x14ac:dyDescent="0.25">
      <c r="A1208" s="3">
        <v>45252</v>
      </c>
      <c r="B1208" s="4">
        <v>2023</v>
      </c>
      <c r="C1208" s="5">
        <v>1635</v>
      </c>
      <c r="D1208" s="5">
        <v>1635</v>
      </c>
      <c r="E1208" s="5">
        <v>1605</v>
      </c>
      <c r="F1208" s="5">
        <v>1605</v>
      </c>
      <c r="G1208" s="5">
        <v>1410.57</v>
      </c>
      <c r="H1208" s="6">
        <v>24708100</v>
      </c>
      <c r="I1208" s="22" t="str">
        <f t="shared" si="119"/>
        <v>-</v>
      </c>
      <c r="J1208" s="7">
        <f t="shared" si="120"/>
        <v>-0.92592592592592582</v>
      </c>
      <c r="K1208" s="7">
        <f t="shared" si="121"/>
        <v>5.1359298075409239</v>
      </c>
      <c r="L1208" s="2" t="str">
        <f t="shared" si="116"/>
        <v>Normal</v>
      </c>
      <c r="M1208" s="2" t="str">
        <f t="shared" si="117"/>
        <v>Normal</v>
      </c>
      <c r="N1208" s="2" t="str">
        <f t="shared" si="118"/>
        <v>No</v>
      </c>
    </row>
    <row r="1209" spans="1:14" x14ac:dyDescent="0.25">
      <c r="A1209" s="3">
        <v>45253</v>
      </c>
      <c r="B1209" s="4">
        <v>2023</v>
      </c>
      <c r="C1209" s="5">
        <v>1600</v>
      </c>
      <c r="D1209" s="5">
        <v>1615</v>
      </c>
      <c r="E1209" s="5">
        <v>1580</v>
      </c>
      <c r="F1209" s="5">
        <v>1600</v>
      </c>
      <c r="G1209" s="5">
        <v>1406.17</v>
      </c>
      <c r="H1209" s="6">
        <v>24227300</v>
      </c>
      <c r="I1209" s="22" t="str">
        <f t="shared" si="119"/>
        <v>-</v>
      </c>
      <c r="J1209" s="7">
        <f t="shared" si="120"/>
        <v>-0.3115264797507788</v>
      </c>
      <c r="K1209" s="7">
        <f t="shared" si="121"/>
        <v>-1.9459205685584888</v>
      </c>
      <c r="L1209" s="2" t="str">
        <f t="shared" si="116"/>
        <v>Normal</v>
      </c>
      <c r="M1209" s="2" t="str">
        <f t="shared" si="117"/>
        <v>Normal</v>
      </c>
      <c r="N1209" s="2" t="str">
        <f t="shared" si="118"/>
        <v>No</v>
      </c>
    </row>
    <row r="1210" spans="1:14" x14ac:dyDescent="0.25">
      <c r="A1210" s="3">
        <v>45254</v>
      </c>
      <c r="B1210" s="4">
        <v>2023</v>
      </c>
      <c r="C1210" s="5">
        <v>1600</v>
      </c>
      <c r="D1210" s="5">
        <v>1620</v>
      </c>
      <c r="E1210" s="5">
        <v>1600</v>
      </c>
      <c r="F1210" s="5">
        <v>1605</v>
      </c>
      <c r="G1210" s="5">
        <v>1410.57</v>
      </c>
      <c r="H1210" s="6">
        <v>13563500</v>
      </c>
      <c r="I1210" s="22" t="str">
        <f t="shared" si="119"/>
        <v>+</v>
      </c>
      <c r="J1210" s="7">
        <f t="shared" si="120"/>
        <v>0.3125</v>
      </c>
      <c r="K1210" s="7">
        <f t="shared" si="121"/>
        <v>-44.015635254444369</v>
      </c>
      <c r="L1210" s="2" t="str">
        <f t="shared" si="116"/>
        <v>Normal</v>
      </c>
      <c r="M1210" s="2" t="str">
        <f t="shared" si="117"/>
        <v>Normal</v>
      </c>
      <c r="N1210" s="2" t="str">
        <f t="shared" si="118"/>
        <v>No</v>
      </c>
    </row>
    <row r="1211" spans="1:14" x14ac:dyDescent="0.25">
      <c r="A1211" s="3">
        <v>45257</v>
      </c>
      <c r="B1211" s="4">
        <v>2023</v>
      </c>
      <c r="C1211" s="5">
        <v>1610</v>
      </c>
      <c r="D1211" s="5">
        <v>1625</v>
      </c>
      <c r="E1211" s="5">
        <v>1610</v>
      </c>
      <c r="F1211" s="5">
        <v>1620</v>
      </c>
      <c r="G1211" s="5">
        <v>1423.75</v>
      </c>
      <c r="H1211" s="6">
        <v>23279700</v>
      </c>
      <c r="I1211" s="22" t="str">
        <f t="shared" si="119"/>
        <v>+</v>
      </c>
      <c r="J1211" s="7">
        <f t="shared" si="120"/>
        <v>0.93457943925233633</v>
      </c>
      <c r="K1211" s="7">
        <f t="shared" si="121"/>
        <v>71.634902495668513</v>
      </c>
      <c r="L1211" s="2" t="str">
        <f t="shared" si="116"/>
        <v>Normal</v>
      </c>
      <c r="M1211" s="2" t="str">
        <f t="shared" si="117"/>
        <v>Normal</v>
      </c>
      <c r="N1211" s="2" t="str">
        <f t="shared" si="118"/>
        <v>No</v>
      </c>
    </row>
    <row r="1212" spans="1:14" x14ac:dyDescent="0.25">
      <c r="A1212" s="3">
        <v>45258</v>
      </c>
      <c r="B1212" s="4">
        <v>2023</v>
      </c>
      <c r="C1212" s="5">
        <v>1630</v>
      </c>
      <c r="D1212" s="5">
        <v>1670</v>
      </c>
      <c r="E1212" s="5">
        <v>1620</v>
      </c>
      <c r="F1212" s="5">
        <v>1655</v>
      </c>
      <c r="G1212" s="5">
        <v>1454.51</v>
      </c>
      <c r="H1212" s="6">
        <v>42651500</v>
      </c>
      <c r="I1212" s="22" t="str">
        <f t="shared" si="119"/>
        <v>+</v>
      </c>
      <c r="J1212" s="7">
        <f t="shared" si="120"/>
        <v>2.1604938271604937</v>
      </c>
      <c r="K1212" s="7">
        <f t="shared" si="121"/>
        <v>83.213271648689641</v>
      </c>
      <c r="L1212" s="2" t="str">
        <f t="shared" si="116"/>
        <v>Normal</v>
      </c>
      <c r="M1212" s="2" t="str">
        <f t="shared" si="117"/>
        <v>Normal</v>
      </c>
      <c r="N1212" s="2" t="str">
        <f t="shared" si="118"/>
        <v>No</v>
      </c>
    </row>
    <row r="1213" spans="1:14" x14ac:dyDescent="0.25">
      <c r="A1213" s="3">
        <v>45259</v>
      </c>
      <c r="B1213" s="4">
        <v>2023</v>
      </c>
      <c r="C1213" s="5">
        <v>1680</v>
      </c>
      <c r="D1213" s="5">
        <v>1735</v>
      </c>
      <c r="E1213" s="5">
        <v>1680</v>
      </c>
      <c r="F1213" s="5">
        <v>1700</v>
      </c>
      <c r="G1213" s="5">
        <v>1494.06</v>
      </c>
      <c r="H1213" s="6">
        <v>89761900</v>
      </c>
      <c r="I1213" s="22" t="str">
        <f t="shared" si="119"/>
        <v>+</v>
      </c>
      <c r="J1213" s="7">
        <f t="shared" si="120"/>
        <v>2.7190332326283988</v>
      </c>
      <c r="K1213" s="7">
        <f t="shared" si="121"/>
        <v>110.45426303881459</v>
      </c>
      <c r="L1213" s="2" t="str">
        <f t="shared" si="116"/>
        <v>Normal</v>
      </c>
      <c r="M1213" s="2" t="str">
        <f t="shared" si="117"/>
        <v>Normal</v>
      </c>
      <c r="N1213" s="2" t="str">
        <f t="shared" si="118"/>
        <v>No</v>
      </c>
    </row>
    <row r="1214" spans="1:14" x14ac:dyDescent="0.25">
      <c r="A1214" s="3">
        <v>45260</v>
      </c>
      <c r="B1214" s="4">
        <v>2023</v>
      </c>
      <c r="C1214" s="5">
        <v>1705</v>
      </c>
      <c r="D1214" s="5">
        <v>1740</v>
      </c>
      <c r="E1214" s="5">
        <v>1675</v>
      </c>
      <c r="F1214" s="5">
        <v>1740</v>
      </c>
      <c r="G1214" s="5">
        <v>1529.21</v>
      </c>
      <c r="H1214" s="6">
        <v>75641800</v>
      </c>
      <c r="I1214" s="22" t="str">
        <f t="shared" si="119"/>
        <v>+</v>
      </c>
      <c r="J1214" s="7">
        <f t="shared" si="120"/>
        <v>2.3529411764705883</v>
      </c>
      <c r="K1214" s="7">
        <f t="shared" si="121"/>
        <v>-15.730616219130834</v>
      </c>
      <c r="L1214" s="2" t="str">
        <f t="shared" si="116"/>
        <v>Normal</v>
      </c>
      <c r="M1214" s="2" t="str">
        <f t="shared" si="117"/>
        <v>Normal</v>
      </c>
      <c r="N1214" s="2" t="str">
        <f t="shared" si="118"/>
        <v>No</v>
      </c>
    </row>
    <row r="1215" spans="1:14" x14ac:dyDescent="0.25">
      <c r="A1215" s="3">
        <v>45261</v>
      </c>
      <c r="B1215" s="4">
        <v>2023</v>
      </c>
      <c r="C1215" s="5">
        <v>1710</v>
      </c>
      <c r="D1215" s="5">
        <v>1725</v>
      </c>
      <c r="E1215" s="5">
        <v>1695</v>
      </c>
      <c r="F1215" s="5">
        <v>1705</v>
      </c>
      <c r="G1215" s="5">
        <v>1498.45</v>
      </c>
      <c r="H1215" s="6">
        <v>41222800</v>
      </c>
      <c r="I1215" s="22" t="str">
        <f t="shared" si="119"/>
        <v>-</v>
      </c>
      <c r="J1215" s="7">
        <f t="shared" si="120"/>
        <v>-2.0114942528735633</v>
      </c>
      <c r="K1215" s="7">
        <f t="shared" si="121"/>
        <v>-45.502618922341881</v>
      </c>
      <c r="L1215" s="2" t="str">
        <f t="shared" si="116"/>
        <v>Normal</v>
      </c>
      <c r="M1215" s="2" t="str">
        <f t="shared" si="117"/>
        <v>Normal</v>
      </c>
      <c r="N1215" s="2" t="str">
        <f t="shared" si="118"/>
        <v>No</v>
      </c>
    </row>
    <row r="1216" spans="1:14" x14ac:dyDescent="0.25">
      <c r="A1216" s="3">
        <v>45264</v>
      </c>
      <c r="B1216" s="4">
        <v>2023</v>
      </c>
      <c r="C1216" s="5">
        <v>1740</v>
      </c>
      <c r="D1216" s="5">
        <v>1810</v>
      </c>
      <c r="E1216" s="5">
        <v>1735</v>
      </c>
      <c r="F1216" s="5">
        <v>1750</v>
      </c>
      <c r="G1216" s="5">
        <v>1538</v>
      </c>
      <c r="H1216" s="6">
        <v>108764700</v>
      </c>
      <c r="I1216" s="22" t="str">
        <f t="shared" si="119"/>
        <v>+</v>
      </c>
      <c r="J1216" s="7">
        <f t="shared" si="120"/>
        <v>2.6392961876832843</v>
      </c>
      <c r="K1216" s="7">
        <f t="shared" si="121"/>
        <v>163.84597843911621</v>
      </c>
      <c r="L1216" s="2" t="str">
        <f t="shared" si="116"/>
        <v>Normal</v>
      </c>
      <c r="M1216" s="2" t="str">
        <f t="shared" si="117"/>
        <v>Normal</v>
      </c>
      <c r="N1216" s="2" t="str">
        <f t="shared" si="118"/>
        <v>No</v>
      </c>
    </row>
    <row r="1217" spans="1:14" x14ac:dyDescent="0.25">
      <c r="A1217" s="3">
        <v>45265</v>
      </c>
      <c r="B1217" s="4">
        <v>2023</v>
      </c>
      <c r="C1217" s="5">
        <v>1745</v>
      </c>
      <c r="D1217" s="5">
        <v>1745</v>
      </c>
      <c r="E1217" s="5">
        <v>1720</v>
      </c>
      <c r="F1217" s="5">
        <v>1745</v>
      </c>
      <c r="G1217" s="5">
        <v>1533.61</v>
      </c>
      <c r="H1217" s="6">
        <v>36711700</v>
      </c>
      <c r="I1217" s="22" t="str">
        <f t="shared" si="119"/>
        <v>-</v>
      </c>
      <c r="J1217" s="7">
        <f t="shared" si="120"/>
        <v>-0.2857142857142857</v>
      </c>
      <c r="K1217" s="7">
        <f t="shared" si="121"/>
        <v>-66.246677460609931</v>
      </c>
      <c r="L1217" s="2" t="str">
        <f t="shared" si="116"/>
        <v>Normal</v>
      </c>
      <c r="M1217" s="2" t="str">
        <f t="shared" si="117"/>
        <v>Sharp Volume Decrease</v>
      </c>
      <c r="N1217" s="2" t="str">
        <f t="shared" si="118"/>
        <v>No</v>
      </c>
    </row>
    <row r="1218" spans="1:14" x14ac:dyDescent="0.25">
      <c r="A1218" s="3">
        <v>45266</v>
      </c>
      <c r="B1218" s="4">
        <v>2023</v>
      </c>
      <c r="C1218" s="5">
        <v>1740</v>
      </c>
      <c r="D1218" s="5">
        <v>1740</v>
      </c>
      <c r="E1218" s="5">
        <v>1700</v>
      </c>
      <c r="F1218" s="5">
        <v>1700</v>
      </c>
      <c r="G1218" s="5">
        <v>1494.06</v>
      </c>
      <c r="H1218" s="6">
        <v>38302400</v>
      </c>
      <c r="I1218" s="22" t="str">
        <f t="shared" si="119"/>
        <v>-</v>
      </c>
      <c r="J1218" s="7">
        <f t="shared" si="120"/>
        <v>-2.5787965616045847</v>
      </c>
      <c r="K1218" s="7">
        <f t="shared" si="121"/>
        <v>4.3329510755426748</v>
      </c>
      <c r="L1218" s="2" t="str">
        <f t="shared" si="116"/>
        <v>Normal</v>
      </c>
      <c r="M1218" s="2" t="str">
        <f t="shared" si="117"/>
        <v>Normal</v>
      </c>
      <c r="N1218" s="2" t="str">
        <f t="shared" si="118"/>
        <v>No</v>
      </c>
    </row>
    <row r="1219" spans="1:14" x14ac:dyDescent="0.25">
      <c r="A1219" s="3">
        <v>45267</v>
      </c>
      <c r="B1219" s="4">
        <v>2023</v>
      </c>
      <c r="C1219" s="5">
        <v>1700</v>
      </c>
      <c r="D1219" s="5">
        <v>1705</v>
      </c>
      <c r="E1219" s="5">
        <v>1635</v>
      </c>
      <c r="F1219" s="5">
        <v>1635</v>
      </c>
      <c r="G1219" s="5">
        <v>1436.93</v>
      </c>
      <c r="H1219" s="6">
        <v>50450100</v>
      </c>
      <c r="I1219" s="22" t="str">
        <f t="shared" si="119"/>
        <v>-</v>
      </c>
      <c r="J1219" s="7">
        <f t="shared" si="120"/>
        <v>-3.8235294117647061</v>
      </c>
      <c r="K1219" s="7">
        <f t="shared" si="121"/>
        <v>31.715244997702495</v>
      </c>
      <c r="L1219" s="2" t="str">
        <f t="shared" ref="L1219:L1282" si="122">IFERROR(IF(OR(J1219="",ISBLANK(J1219)),"Normal",IF(J1219&lt;=$U$6,"Sharp Price Decrease",IF(J1219&gt;=$U$7,"Sharp Price Increase","Normal"))),"Normal")</f>
        <v>Normal</v>
      </c>
      <c r="M1219" s="2" t="str">
        <f t="shared" ref="M1219:M1282" si="123">IFERROR(IF(OR(K1219="",ISBLANK(K1219)),"Normal",IF(K1219&lt;=$U$8,"Sharp Volume Decrease",IF(K1219&gt;=$U$9,"Sharp Volume Increase","Normal"))),"Normal")</f>
        <v>Normal</v>
      </c>
      <c r="N1219" s="2" t="str">
        <f t="shared" ref="N1219:N1282" si="124">IFERROR(IF(AND(OR(L1219="Sharp Price Increase",L1219="Sharp Price Decrease"),OR(M1219="Sharp Volume Increase",M1219="Sharp Volume Decrease")),"Yes","No"),"No")</f>
        <v>No</v>
      </c>
    </row>
    <row r="1220" spans="1:14" x14ac:dyDescent="0.25">
      <c r="A1220" s="3">
        <v>45268</v>
      </c>
      <c r="B1220" s="4">
        <v>2023</v>
      </c>
      <c r="C1220" s="5">
        <v>1650</v>
      </c>
      <c r="D1220" s="5">
        <v>1690</v>
      </c>
      <c r="E1220" s="5">
        <v>1645</v>
      </c>
      <c r="F1220" s="5">
        <v>1685</v>
      </c>
      <c r="G1220" s="5">
        <v>1480.87</v>
      </c>
      <c r="H1220" s="6">
        <v>41337300</v>
      </c>
      <c r="I1220" s="22" t="str">
        <f t="shared" ref="I1220:I1283" si="125">IFERROR(IF(OR(F1219="",F1220=""),"",IF(F1220-F1219&lt;0,"-",IF(F1220-F1219&gt;0,"+","0"))),"")</f>
        <v>+</v>
      </c>
      <c r="J1220" s="7">
        <f t="shared" ref="J1220:J1283" si="126">(F1220-F1219)/F1219*100</f>
        <v>3.0581039755351682</v>
      </c>
      <c r="K1220" s="7">
        <f t="shared" ref="K1220:K1283" si="127">(H1220-H1219)/H1219*100</f>
        <v>-18.062996901889193</v>
      </c>
      <c r="L1220" s="2" t="str">
        <f t="shared" si="122"/>
        <v>Normal</v>
      </c>
      <c r="M1220" s="2" t="str">
        <f t="shared" si="123"/>
        <v>Normal</v>
      </c>
      <c r="N1220" s="2" t="str">
        <f t="shared" si="124"/>
        <v>No</v>
      </c>
    </row>
    <row r="1221" spans="1:14" x14ac:dyDescent="0.25">
      <c r="A1221" s="3">
        <v>45271</v>
      </c>
      <c r="B1221" s="4">
        <v>2023</v>
      </c>
      <c r="C1221" s="5">
        <v>1675</v>
      </c>
      <c r="D1221" s="5">
        <v>1675</v>
      </c>
      <c r="E1221" s="5">
        <v>1640</v>
      </c>
      <c r="F1221" s="5">
        <v>1655</v>
      </c>
      <c r="G1221" s="5">
        <v>1454.51</v>
      </c>
      <c r="H1221" s="6">
        <v>29210100</v>
      </c>
      <c r="I1221" s="22" t="str">
        <f t="shared" si="125"/>
        <v>-</v>
      </c>
      <c r="J1221" s="7">
        <f t="shared" si="126"/>
        <v>-1.7804154302670623</v>
      </c>
      <c r="K1221" s="7">
        <f t="shared" si="127"/>
        <v>-29.337184576641434</v>
      </c>
      <c r="L1221" s="2" t="str">
        <f t="shared" si="122"/>
        <v>Normal</v>
      </c>
      <c r="M1221" s="2" t="str">
        <f t="shared" si="123"/>
        <v>Normal</v>
      </c>
      <c r="N1221" s="2" t="str">
        <f t="shared" si="124"/>
        <v>No</v>
      </c>
    </row>
    <row r="1222" spans="1:14" x14ac:dyDescent="0.25">
      <c r="A1222" s="3">
        <v>45272</v>
      </c>
      <c r="B1222" s="4">
        <v>2023</v>
      </c>
      <c r="C1222" s="5">
        <v>1655</v>
      </c>
      <c r="D1222" s="5">
        <v>1655</v>
      </c>
      <c r="E1222" s="5">
        <v>1610</v>
      </c>
      <c r="F1222" s="5">
        <v>1625</v>
      </c>
      <c r="G1222" s="5">
        <v>1428.14</v>
      </c>
      <c r="H1222" s="6">
        <v>29865200</v>
      </c>
      <c r="I1222" s="22" t="str">
        <f t="shared" si="125"/>
        <v>-</v>
      </c>
      <c r="J1222" s="7">
        <f t="shared" si="126"/>
        <v>-1.8126888217522661</v>
      </c>
      <c r="K1222" s="7">
        <f t="shared" si="127"/>
        <v>2.2427174162361649</v>
      </c>
      <c r="L1222" s="2" t="str">
        <f t="shared" si="122"/>
        <v>Normal</v>
      </c>
      <c r="M1222" s="2" t="str">
        <f t="shared" si="123"/>
        <v>Normal</v>
      </c>
      <c r="N1222" s="2" t="str">
        <f t="shared" si="124"/>
        <v>No</v>
      </c>
    </row>
    <row r="1223" spans="1:14" x14ac:dyDescent="0.25">
      <c r="A1223" s="3">
        <v>45273</v>
      </c>
      <c r="B1223" s="4">
        <v>2023</v>
      </c>
      <c r="C1223" s="5">
        <v>1625</v>
      </c>
      <c r="D1223" s="5">
        <v>1625</v>
      </c>
      <c r="E1223" s="5">
        <v>1590</v>
      </c>
      <c r="F1223" s="5">
        <v>1595</v>
      </c>
      <c r="G1223" s="5">
        <v>1401.78</v>
      </c>
      <c r="H1223" s="6">
        <v>33258000</v>
      </c>
      <c r="I1223" s="22" t="str">
        <f t="shared" si="125"/>
        <v>-</v>
      </c>
      <c r="J1223" s="7">
        <f t="shared" si="126"/>
        <v>-1.8461538461538463</v>
      </c>
      <c r="K1223" s="7">
        <f t="shared" si="127"/>
        <v>11.360379304340839</v>
      </c>
      <c r="L1223" s="2" t="str">
        <f t="shared" si="122"/>
        <v>Normal</v>
      </c>
      <c r="M1223" s="2" t="str">
        <f t="shared" si="123"/>
        <v>Normal</v>
      </c>
      <c r="N1223" s="2" t="str">
        <f t="shared" si="124"/>
        <v>No</v>
      </c>
    </row>
    <row r="1224" spans="1:14" x14ac:dyDescent="0.25">
      <c r="A1224" s="3">
        <v>45274</v>
      </c>
      <c r="B1224" s="4">
        <v>2023</v>
      </c>
      <c r="C1224" s="5">
        <v>1625</v>
      </c>
      <c r="D1224" s="5">
        <v>1650</v>
      </c>
      <c r="E1224" s="5">
        <v>1625</v>
      </c>
      <c r="F1224" s="5">
        <v>1640</v>
      </c>
      <c r="G1224" s="5">
        <v>1441.33</v>
      </c>
      <c r="H1224" s="6">
        <v>42144600</v>
      </c>
      <c r="I1224" s="22" t="str">
        <f t="shared" si="125"/>
        <v>+</v>
      </c>
      <c r="J1224" s="7">
        <f t="shared" si="126"/>
        <v>2.8213166144200628</v>
      </c>
      <c r="K1224" s="7">
        <f t="shared" si="127"/>
        <v>26.720187624030306</v>
      </c>
      <c r="L1224" s="2" t="str">
        <f t="shared" si="122"/>
        <v>Normal</v>
      </c>
      <c r="M1224" s="2" t="str">
        <f t="shared" si="123"/>
        <v>Normal</v>
      </c>
      <c r="N1224" s="2" t="str">
        <f t="shared" si="124"/>
        <v>No</v>
      </c>
    </row>
    <row r="1225" spans="1:14" x14ac:dyDescent="0.25">
      <c r="A1225" s="3">
        <v>45275</v>
      </c>
      <c r="B1225" s="4">
        <v>2023</v>
      </c>
      <c r="C1225" s="5">
        <v>1650</v>
      </c>
      <c r="D1225" s="5">
        <v>1670</v>
      </c>
      <c r="E1225" s="5">
        <v>1640</v>
      </c>
      <c r="F1225" s="5">
        <v>1670</v>
      </c>
      <c r="G1225" s="5">
        <v>1467.69</v>
      </c>
      <c r="H1225" s="6">
        <v>34436800</v>
      </c>
      <c r="I1225" s="22" t="str">
        <f t="shared" si="125"/>
        <v>+</v>
      </c>
      <c r="J1225" s="7">
        <f t="shared" si="126"/>
        <v>1.8292682926829267</v>
      </c>
      <c r="K1225" s="7">
        <f t="shared" si="127"/>
        <v>-18.288938559151113</v>
      </c>
      <c r="L1225" s="2" t="str">
        <f t="shared" si="122"/>
        <v>Normal</v>
      </c>
      <c r="M1225" s="2" t="str">
        <f t="shared" si="123"/>
        <v>Normal</v>
      </c>
      <c r="N1225" s="2" t="str">
        <f t="shared" si="124"/>
        <v>No</v>
      </c>
    </row>
    <row r="1226" spans="1:14" x14ac:dyDescent="0.25">
      <c r="A1226" s="3">
        <v>45278</v>
      </c>
      <c r="B1226" s="4">
        <v>2023</v>
      </c>
      <c r="C1226" s="5">
        <v>1670</v>
      </c>
      <c r="D1226" s="5">
        <v>1675</v>
      </c>
      <c r="E1226" s="5">
        <v>1620</v>
      </c>
      <c r="F1226" s="5">
        <v>1665</v>
      </c>
      <c r="G1226" s="5">
        <v>1463.3</v>
      </c>
      <c r="H1226" s="6">
        <v>34081200</v>
      </c>
      <c r="I1226" s="22" t="str">
        <f t="shared" si="125"/>
        <v>-</v>
      </c>
      <c r="J1226" s="7">
        <f t="shared" si="126"/>
        <v>-0.29940119760479045</v>
      </c>
      <c r="K1226" s="7">
        <f t="shared" si="127"/>
        <v>-1.0326162709659434</v>
      </c>
      <c r="L1226" s="2" t="str">
        <f t="shared" si="122"/>
        <v>Normal</v>
      </c>
      <c r="M1226" s="2" t="str">
        <f t="shared" si="123"/>
        <v>Normal</v>
      </c>
      <c r="N1226" s="2" t="str">
        <f t="shared" si="124"/>
        <v>No</v>
      </c>
    </row>
    <row r="1227" spans="1:14" x14ac:dyDescent="0.25">
      <c r="A1227" s="3">
        <v>45279</v>
      </c>
      <c r="B1227" s="4">
        <v>2023</v>
      </c>
      <c r="C1227" s="5">
        <v>1650</v>
      </c>
      <c r="D1227" s="5">
        <v>1650</v>
      </c>
      <c r="E1227" s="5">
        <v>1625</v>
      </c>
      <c r="F1227" s="5">
        <v>1640</v>
      </c>
      <c r="G1227" s="5">
        <v>1441.33</v>
      </c>
      <c r="H1227" s="6">
        <v>10954000</v>
      </c>
      <c r="I1227" s="22" t="str">
        <f t="shared" si="125"/>
        <v>-</v>
      </c>
      <c r="J1227" s="7">
        <f t="shared" si="126"/>
        <v>-1.5015015015015014</v>
      </c>
      <c r="K1227" s="7">
        <f t="shared" si="127"/>
        <v>-67.859112942032567</v>
      </c>
      <c r="L1227" s="2" t="str">
        <f t="shared" si="122"/>
        <v>Normal</v>
      </c>
      <c r="M1227" s="2" t="str">
        <f t="shared" si="123"/>
        <v>Sharp Volume Decrease</v>
      </c>
      <c r="N1227" s="2" t="str">
        <f t="shared" si="124"/>
        <v>No</v>
      </c>
    </row>
    <row r="1228" spans="1:14" x14ac:dyDescent="0.25">
      <c r="A1228" s="3">
        <v>45280</v>
      </c>
      <c r="B1228" s="4">
        <v>2023</v>
      </c>
      <c r="C1228" s="5">
        <v>1640</v>
      </c>
      <c r="D1228" s="5">
        <v>1665</v>
      </c>
      <c r="E1228" s="5">
        <v>1635</v>
      </c>
      <c r="F1228" s="5">
        <v>1635</v>
      </c>
      <c r="G1228" s="5">
        <v>1436.93</v>
      </c>
      <c r="H1228" s="6">
        <v>33524500</v>
      </c>
      <c r="I1228" s="22" t="str">
        <f t="shared" si="125"/>
        <v>-</v>
      </c>
      <c r="J1228" s="7">
        <f t="shared" si="126"/>
        <v>-0.3048780487804878</v>
      </c>
      <c r="K1228" s="7">
        <f t="shared" si="127"/>
        <v>206.04801898849735</v>
      </c>
      <c r="L1228" s="2" t="str">
        <f t="shared" si="122"/>
        <v>Normal</v>
      </c>
      <c r="M1228" s="2" t="str">
        <f t="shared" si="123"/>
        <v>Sharp Volume Increase</v>
      </c>
      <c r="N1228" s="2" t="str">
        <f t="shared" si="124"/>
        <v>No</v>
      </c>
    </row>
    <row r="1229" spans="1:14" x14ac:dyDescent="0.25">
      <c r="A1229" s="3">
        <v>45281</v>
      </c>
      <c r="B1229" s="4">
        <v>2023</v>
      </c>
      <c r="C1229" s="5">
        <v>1635</v>
      </c>
      <c r="D1229" s="5">
        <v>1645</v>
      </c>
      <c r="E1229" s="5">
        <v>1625</v>
      </c>
      <c r="F1229" s="5">
        <v>1635</v>
      </c>
      <c r="G1229" s="5">
        <v>1436.93</v>
      </c>
      <c r="H1229" s="6">
        <v>14967800</v>
      </c>
      <c r="I1229" s="22" t="str">
        <f t="shared" si="125"/>
        <v>0</v>
      </c>
      <c r="J1229" s="7">
        <f t="shared" si="126"/>
        <v>0</v>
      </c>
      <c r="K1229" s="7">
        <f t="shared" si="127"/>
        <v>-55.352652537696315</v>
      </c>
      <c r="L1229" s="2" t="str">
        <f t="shared" si="122"/>
        <v>Normal</v>
      </c>
      <c r="M1229" s="2" t="str">
        <f t="shared" si="123"/>
        <v>Normal</v>
      </c>
      <c r="N1229" s="2" t="str">
        <f t="shared" si="124"/>
        <v>No</v>
      </c>
    </row>
    <row r="1230" spans="1:14" x14ac:dyDescent="0.25">
      <c r="A1230" s="3">
        <v>45282</v>
      </c>
      <c r="B1230" s="4">
        <v>2023</v>
      </c>
      <c r="C1230" s="5">
        <v>1640</v>
      </c>
      <c r="D1230" s="5">
        <v>1665</v>
      </c>
      <c r="E1230" s="5">
        <v>1640</v>
      </c>
      <c r="F1230" s="5">
        <v>1665</v>
      </c>
      <c r="G1230" s="5">
        <v>1463.3</v>
      </c>
      <c r="H1230" s="6">
        <v>24415400</v>
      </c>
      <c r="I1230" s="22" t="str">
        <f t="shared" si="125"/>
        <v>+</v>
      </c>
      <c r="J1230" s="7">
        <f t="shared" si="126"/>
        <v>1.834862385321101</v>
      </c>
      <c r="K1230" s="7">
        <f t="shared" si="127"/>
        <v>63.119496519194541</v>
      </c>
      <c r="L1230" s="2" t="str">
        <f t="shared" si="122"/>
        <v>Normal</v>
      </c>
      <c r="M1230" s="2" t="str">
        <f t="shared" si="123"/>
        <v>Normal</v>
      </c>
      <c r="N1230" s="2" t="str">
        <f t="shared" si="124"/>
        <v>No</v>
      </c>
    </row>
    <row r="1231" spans="1:14" x14ac:dyDescent="0.25">
      <c r="A1231" s="3">
        <v>45287</v>
      </c>
      <c r="B1231" s="4">
        <v>2023</v>
      </c>
      <c r="C1231" s="5">
        <v>1675</v>
      </c>
      <c r="D1231" s="5">
        <v>1745</v>
      </c>
      <c r="E1231" s="5">
        <v>1675</v>
      </c>
      <c r="F1231" s="5">
        <v>1735</v>
      </c>
      <c r="G1231" s="5">
        <v>1524.82</v>
      </c>
      <c r="H1231" s="6">
        <v>86013100</v>
      </c>
      <c r="I1231" s="22" t="str">
        <f t="shared" si="125"/>
        <v>+</v>
      </c>
      <c r="J1231" s="7">
        <f t="shared" si="126"/>
        <v>4.2042042042042045</v>
      </c>
      <c r="K1231" s="7">
        <f t="shared" si="127"/>
        <v>252.29035772504238</v>
      </c>
      <c r="L1231" s="2" t="str">
        <f t="shared" si="122"/>
        <v>Normal</v>
      </c>
      <c r="M1231" s="2" t="str">
        <f t="shared" si="123"/>
        <v>Sharp Volume Increase</v>
      </c>
      <c r="N1231" s="2" t="str">
        <f t="shared" si="124"/>
        <v>No</v>
      </c>
    </row>
    <row r="1232" spans="1:14" x14ac:dyDescent="0.25">
      <c r="A1232" s="3">
        <v>45288</v>
      </c>
      <c r="B1232" s="4">
        <v>2023</v>
      </c>
      <c r="C1232" s="5">
        <v>1750</v>
      </c>
      <c r="D1232" s="5">
        <v>1800</v>
      </c>
      <c r="E1232" s="5">
        <v>1705</v>
      </c>
      <c r="F1232" s="5">
        <v>1715</v>
      </c>
      <c r="G1232" s="5">
        <v>1507.24</v>
      </c>
      <c r="H1232" s="6">
        <v>115723900</v>
      </c>
      <c r="I1232" s="22" t="str">
        <f t="shared" si="125"/>
        <v>-</v>
      </c>
      <c r="J1232" s="7">
        <f t="shared" si="126"/>
        <v>-1.1527377521613833</v>
      </c>
      <c r="K1232" s="7">
        <f t="shared" si="127"/>
        <v>34.542180202783065</v>
      </c>
      <c r="L1232" s="2" t="str">
        <f t="shared" si="122"/>
        <v>Normal</v>
      </c>
      <c r="M1232" s="2" t="str">
        <f t="shared" si="123"/>
        <v>Normal</v>
      </c>
      <c r="N1232" s="2" t="str">
        <f t="shared" si="124"/>
        <v>No</v>
      </c>
    </row>
    <row r="1233" spans="1:14" x14ac:dyDescent="0.25">
      <c r="A1233" s="3">
        <v>45289</v>
      </c>
      <c r="B1233" s="4">
        <v>2023</v>
      </c>
      <c r="C1233" s="5">
        <v>1720</v>
      </c>
      <c r="D1233" s="5">
        <v>1785</v>
      </c>
      <c r="E1233" s="5">
        <v>1705</v>
      </c>
      <c r="F1233" s="5">
        <v>1705</v>
      </c>
      <c r="G1233" s="5">
        <v>1498.45</v>
      </c>
      <c r="H1233" s="6">
        <v>83597900</v>
      </c>
      <c r="I1233" s="22" t="str">
        <f t="shared" si="125"/>
        <v>-</v>
      </c>
      <c r="J1233" s="7">
        <f t="shared" si="126"/>
        <v>-0.58309037900874638</v>
      </c>
      <c r="K1233" s="7">
        <f t="shared" si="127"/>
        <v>-27.760903322477031</v>
      </c>
      <c r="L1233" s="2" t="str">
        <f t="shared" si="122"/>
        <v>Normal</v>
      </c>
      <c r="M1233" s="2" t="str">
        <f t="shared" si="123"/>
        <v>Normal</v>
      </c>
      <c r="N1233" s="2" t="str">
        <f t="shared" si="124"/>
        <v>No</v>
      </c>
    </row>
    <row r="1234" spans="1:14" x14ac:dyDescent="0.25">
      <c r="A1234" s="3">
        <v>45293</v>
      </c>
      <c r="B1234" s="4">
        <v>2024</v>
      </c>
      <c r="C1234" s="5">
        <v>1715</v>
      </c>
      <c r="D1234" s="5">
        <v>1735</v>
      </c>
      <c r="E1234" s="5">
        <v>1710</v>
      </c>
      <c r="F1234" s="5">
        <v>1735</v>
      </c>
      <c r="G1234" s="5">
        <v>1524.82</v>
      </c>
      <c r="H1234" s="6">
        <v>24718300</v>
      </c>
      <c r="I1234" s="22" t="str">
        <f t="shared" si="125"/>
        <v>+</v>
      </c>
      <c r="J1234" s="7">
        <f t="shared" si="126"/>
        <v>1.7595307917888565</v>
      </c>
      <c r="K1234" s="7">
        <f t="shared" si="127"/>
        <v>-70.431912763358881</v>
      </c>
      <c r="L1234" s="2" t="str">
        <f t="shared" si="122"/>
        <v>Normal</v>
      </c>
      <c r="M1234" s="2" t="str">
        <f t="shared" si="123"/>
        <v>Sharp Volume Decrease</v>
      </c>
      <c r="N1234" s="2" t="str">
        <f t="shared" si="124"/>
        <v>No</v>
      </c>
    </row>
    <row r="1235" spans="1:14" x14ac:dyDescent="0.25">
      <c r="A1235" s="3">
        <v>45294</v>
      </c>
      <c r="B1235" s="4">
        <v>2024</v>
      </c>
      <c r="C1235" s="5">
        <v>1735</v>
      </c>
      <c r="D1235" s="5">
        <v>1735</v>
      </c>
      <c r="E1235" s="5">
        <v>1700</v>
      </c>
      <c r="F1235" s="5">
        <v>1700</v>
      </c>
      <c r="G1235" s="5">
        <v>1494.06</v>
      </c>
      <c r="H1235" s="6">
        <v>37300200</v>
      </c>
      <c r="I1235" s="22" t="str">
        <f t="shared" si="125"/>
        <v>-</v>
      </c>
      <c r="J1235" s="7">
        <f t="shared" si="126"/>
        <v>-2.0172910662824206</v>
      </c>
      <c r="K1235" s="7">
        <f t="shared" si="127"/>
        <v>50.901154205588576</v>
      </c>
      <c r="L1235" s="2" t="str">
        <f t="shared" si="122"/>
        <v>Normal</v>
      </c>
      <c r="M1235" s="2" t="str">
        <f t="shared" si="123"/>
        <v>Normal</v>
      </c>
      <c r="N1235" s="2" t="str">
        <f t="shared" si="124"/>
        <v>No</v>
      </c>
    </row>
    <row r="1236" spans="1:14" x14ac:dyDescent="0.25">
      <c r="A1236" s="3">
        <v>45295</v>
      </c>
      <c r="B1236" s="4">
        <v>2024</v>
      </c>
      <c r="C1236" s="5">
        <v>1700</v>
      </c>
      <c r="D1236" s="5">
        <v>1725</v>
      </c>
      <c r="E1236" s="5">
        <v>1680</v>
      </c>
      <c r="F1236" s="5">
        <v>1685</v>
      </c>
      <c r="G1236" s="5">
        <v>1480.87</v>
      </c>
      <c r="H1236" s="6">
        <v>50670900</v>
      </c>
      <c r="I1236" s="22" t="str">
        <f t="shared" si="125"/>
        <v>-</v>
      </c>
      <c r="J1236" s="7">
        <f t="shared" si="126"/>
        <v>-0.88235294117647056</v>
      </c>
      <c r="K1236" s="7">
        <f t="shared" si="127"/>
        <v>35.846188492286906</v>
      </c>
      <c r="L1236" s="2" t="str">
        <f t="shared" si="122"/>
        <v>Normal</v>
      </c>
      <c r="M1236" s="2" t="str">
        <f t="shared" si="123"/>
        <v>Normal</v>
      </c>
      <c r="N1236" s="2" t="str">
        <f t="shared" si="124"/>
        <v>No</v>
      </c>
    </row>
    <row r="1237" spans="1:14" x14ac:dyDescent="0.25">
      <c r="A1237" s="3">
        <v>45296</v>
      </c>
      <c r="B1237" s="4">
        <v>2024</v>
      </c>
      <c r="C1237" s="5">
        <v>1690</v>
      </c>
      <c r="D1237" s="5">
        <v>1695</v>
      </c>
      <c r="E1237" s="5">
        <v>1675</v>
      </c>
      <c r="F1237" s="5">
        <v>1675</v>
      </c>
      <c r="G1237" s="5">
        <v>1472.09</v>
      </c>
      <c r="H1237" s="6">
        <v>27724900</v>
      </c>
      <c r="I1237" s="22" t="str">
        <f t="shared" si="125"/>
        <v>-</v>
      </c>
      <c r="J1237" s="7">
        <f t="shared" si="126"/>
        <v>-0.59347181008902083</v>
      </c>
      <c r="K1237" s="7">
        <f t="shared" si="127"/>
        <v>-45.284374266097501</v>
      </c>
      <c r="L1237" s="2" t="str">
        <f t="shared" si="122"/>
        <v>Normal</v>
      </c>
      <c r="M1237" s="2" t="str">
        <f t="shared" si="123"/>
        <v>Normal</v>
      </c>
      <c r="N1237" s="2" t="str">
        <f t="shared" si="124"/>
        <v>No</v>
      </c>
    </row>
    <row r="1238" spans="1:14" x14ac:dyDescent="0.25">
      <c r="A1238" s="3">
        <v>45299</v>
      </c>
      <c r="B1238" s="4">
        <v>2024</v>
      </c>
      <c r="C1238" s="5">
        <v>1680</v>
      </c>
      <c r="D1238" s="5">
        <v>1710</v>
      </c>
      <c r="E1238" s="5">
        <v>1650</v>
      </c>
      <c r="F1238" s="5">
        <v>1650</v>
      </c>
      <c r="G1238" s="5">
        <v>1450.11</v>
      </c>
      <c r="H1238" s="6">
        <v>38882100</v>
      </c>
      <c r="I1238" s="22" t="str">
        <f t="shared" si="125"/>
        <v>-</v>
      </c>
      <c r="J1238" s="7">
        <f t="shared" si="126"/>
        <v>-1.4925373134328357</v>
      </c>
      <c r="K1238" s="7">
        <f t="shared" si="127"/>
        <v>40.242525671868968</v>
      </c>
      <c r="L1238" s="2" t="str">
        <f t="shared" si="122"/>
        <v>Normal</v>
      </c>
      <c r="M1238" s="2" t="str">
        <f t="shared" si="123"/>
        <v>Normal</v>
      </c>
      <c r="N1238" s="2" t="str">
        <f t="shared" si="124"/>
        <v>No</v>
      </c>
    </row>
    <row r="1239" spans="1:14" x14ac:dyDescent="0.25">
      <c r="A1239" s="3">
        <v>45300</v>
      </c>
      <c r="B1239" s="4">
        <v>2024</v>
      </c>
      <c r="C1239" s="5">
        <v>1650</v>
      </c>
      <c r="D1239" s="5">
        <v>1670</v>
      </c>
      <c r="E1239" s="5">
        <v>1630</v>
      </c>
      <c r="F1239" s="5">
        <v>1645</v>
      </c>
      <c r="G1239" s="5">
        <v>1445.72</v>
      </c>
      <c r="H1239" s="6">
        <v>35557300</v>
      </c>
      <c r="I1239" s="22" t="str">
        <f t="shared" si="125"/>
        <v>-</v>
      </c>
      <c r="J1239" s="7">
        <f t="shared" si="126"/>
        <v>-0.30303030303030304</v>
      </c>
      <c r="K1239" s="7">
        <f t="shared" si="127"/>
        <v>-8.5509784708130478</v>
      </c>
      <c r="L1239" s="2" t="str">
        <f t="shared" si="122"/>
        <v>Normal</v>
      </c>
      <c r="M1239" s="2" t="str">
        <f t="shared" si="123"/>
        <v>Normal</v>
      </c>
      <c r="N1239" s="2" t="str">
        <f t="shared" si="124"/>
        <v>No</v>
      </c>
    </row>
    <row r="1240" spans="1:14" x14ac:dyDescent="0.25">
      <c r="A1240" s="3">
        <v>45301</v>
      </c>
      <c r="B1240" s="4">
        <v>2024</v>
      </c>
      <c r="C1240" s="5">
        <v>1650</v>
      </c>
      <c r="D1240" s="5">
        <v>1670</v>
      </c>
      <c r="E1240" s="5">
        <v>1635</v>
      </c>
      <c r="F1240" s="5">
        <v>1655</v>
      </c>
      <c r="G1240" s="5">
        <v>1454.51</v>
      </c>
      <c r="H1240" s="6">
        <v>23255700</v>
      </c>
      <c r="I1240" s="22" t="str">
        <f t="shared" si="125"/>
        <v>+</v>
      </c>
      <c r="J1240" s="7">
        <f t="shared" si="126"/>
        <v>0.60790273556231</v>
      </c>
      <c r="K1240" s="7">
        <f t="shared" si="127"/>
        <v>-34.596552606637736</v>
      </c>
      <c r="L1240" s="2" t="str">
        <f t="shared" si="122"/>
        <v>Normal</v>
      </c>
      <c r="M1240" s="2" t="str">
        <f t="shared" si="123"/>
        <v>Normal</v>
      </c>
      <c r="N1240" s="2" t="str">
        <f t="shared" si="124"/>
        <v>No</v>
      </c>
    </row>
    <row r="1241" spans="1:14" x14ac:dyDescent="0.25">
      <c r="A1241" s="3">
        <v>45302</v>
      </c>
      <c r="B1241" s="4">
        <v>2024</v>
      </c>
      <c r="C1241" s="5">
        <v>1660</v>
      </c>
      <c r="D1241" s="5">
        <v>1670</v>
      </c>
      <c r="E1241" s="5">
        <v>1635</v>
      </c>
      <c r="F1241" s="5">
        <v>1635</v>
      </c>
      <c r="G1241" s="5">
        <v>1436.93</v>
      </c>
      <c r="H1241" s="6">
        <v>23738400</v>
      </c>
      <c r="I1241" s="22" t="str">
        <f t="shared" si="125"/>
        <v>-</v>
      </c>
      <c r="J1241" s="7">
        <f t="shared" si="126"/>
        <v>-1.2084592145015105</v>
      </c>
      <c r="K1241" s="7">
        <f t="shared" si="127"/>
        <v>2.0756201705388357</v>
      </c>
      <c r="L1241" s="2" t="str">
        <f t="shared" si="122"/>
        <v>Normal</v>
      </c>
      <c r="M1241" s="2" t="str">
        <f t="shared" si="123"/>
        <v>Normal</v>
      </c>
      <c r="N1241" s="2" t="str">
        <f t="shared" si="124"/>
        <v>No</v>
      </c>
    </row>
    <row r="1242" spans="1:14" x14ac:dyDescent="0.25">
      <c r="A1242" s="3">
        <v>45303</v>
      </c>
      <c r="B1242" s="4">
        <v>2024</v>
      </c>
      <c r="C1242" s="5">
        <v>1635</v>
      </c>
      <c r="D1242" s="5">
        <v>1645</v>
      </c>
      <c r="E1242" s="5">
        <v>1620</v>
      </c>
      <c r="F1242" s="5">
        <v>1625</v>
      </c>
      <c r="G1242" s="5">
        <v>1428.14</v>
      </c>
      <c r="H1242" s="6">
        <v>37633100</v>
      </c>
      <c r="I1242" s="22" t="str">
        <f t="shared" si="125"/>
        <v>-</v>
      </c>
      <c r="J1242" s="7">
        <f t="shared" si="126"/>
        <v>-0.6116207951070336</v>
      </c>
      <c r="K1242" s="7">
        <f t="shared" si="127"/>
        <v>58.532588548512109</v>
      </c>
      <c r="L1242" s="2" t="str">
        <f t="shared" si="122"/>
        <v>Normal</v>
      </c>
      <c r="M1242" s="2" t="str">
        <f t="shared" si="123"/>
        <v>Normal</v>
      </c>
      <c r="N1242" s="2" t="str">
        <f t="shared" si="124"/>
        <v>No</v>
      </c>
    </row>
    <row r="1243" spans="1:14" x14ac:dyDescent="0.25">
      <c r="A1243" s="3">
        <v>45306</v>
      </c>
      <c r="B1243" s="4">
        <v>2024</v>
      </c>
      <c r="C1243" s="5">
        <v>1630</v>
      </c>
      <c r="D1243" s="5">
        <v>1640</v>
      </c>
      <c r="E1243" s="5">
        <v>1605</v>
      </c>
      <c r="F1243" s="5">
        <v>1605</v>
      </c>
      <c r="G1243" s="5">
        <v>1410.57</v>
      </c>
      <c r="H1243" s="6">
        <v>41059100</v>
      </c>
      <c r="I1243" s="22" t="str">
        <f t="shared" si="125"/>
        <v>-</v>
      </c>
      <c r="J1243" s="7">
        <f t="shared" si="126"/>
        <v>-1.2307692307692308</v>
      </c>
      <c r="K1243" s="7">
        <f t="shared" si="127"/>
        <v>9.1036879768076506</v>
      </c>
      <c r="L1243" s="2" t="str">
        <f t="shared" si="122"/>
        <v>Normal</v>
      </c>
      <c r="M1243" s="2" t="str">
        <f t="shared" si="123"/>
        <v>Normal</v>
      </c>
      <c r="N1243" s="2" t="str">
        <f t="shared" si="124"/>
        <v>No</v>
      </c>
    </row>
    <row r="1244" spans="1:14" x14ac:dyDescent="0.25">
      <c r="A1244" s="3">
        <v>45307</v>
      </c>
      <c r="B1244" s="4">
        <v>2024</v>
      </c>
      <c r="C1244" s="5">
        <v>1610</v>
      </c>
      <c r="D1244" s="5">
        <v>1625</v>
      </c>
      <c r="E1244" s="5">
        <v>1600</v>
      </c>
      <c r="F1244" s="5">
        <v>1605</v>
      </c>
      <c r="G1244" s="5">
        <v>1410.57</v>
      </c>
      <c r="H1244" s="6">
        <v>28690900</v>
      </c>
      <c r="I1244" s="22" t="str">
        <f t="shared" si="125"/>
        <v>0</v>
      </c>
      <c r="J1244" s="7">
        <f t="shared" si="126"/>
        <v>0</v>
      </c>
      <c r="K1244" s="7">
        <f t="shared" si="127"/>
        <v>-30.12292037575105</v>
      </c>
      <c r="L1244" s="2" t="str">
        <f t="shared" si="122"/>
        <v>Normal</v>
      </c>
      <c r="M1244" s="2" t="str">
        <f t="shared" si="123"/>
        <v>Normal</v>
      </c>
      <c r="N1244" s="2" t="str">
        <f t="shared" si="124"/>
        <v>No</v>
      </c>
    </row>
    <row r="1245" spans="1:14" x14ac:dyDescent="0.25">
      <c r="A1245" s="3">
        <v>45308</v>
      </c>
      <c r="B1245" s="4">
        <v>2024</v>
      </c>
      <c r="C1245" s="5">
        <v>1620</v>
      </c>
      <c r="D1245" s="5">
        <v>1620</v>
      </c>
      <c r="E1245" s="5">
        <v>1600</v>
      </c>
      <c r="F1245" s="5">
        <v>1605</v>
      </c>
      <c r="G1245" s="5">
        <v>1410.57</v>
      </c>
      <c r="H1245" s="6">
        <v>22340500</v>
      </c>
      <c r="I1245" s="22" t="str">
        <f t="shared" si="125"/>
        <v>0</v>
      </c>
      <c r="J1245" s="7">
        <f t="shared" si="126"/>
        <v>0</v>
      </c>
      <c r="K1245" s="7">
        <f t="shared" si="127"/>
        <v>-22.133847317442115</v>
      </c>
      <c r="L1245" s="2" t="str">
        <f t="shared" si="122"/>
        <v>Normal</v>
      </c>
      <c r="M1245" s="2" t="str">
        <f t="shared" si="123"/>
        <v>Normal</v>
      </c>
      <c r="N1245" s="2" t="str">
        <f t="shared" si="124"/>
        <v>No</v>
      </c>
    </row>
    <row r="1246" spans="1:14" x14ac:dyDescent="0.25">
      <c r="A1246" s="3">
        <v>45309</v>
      </c>
      <c r="B1246" s="4">
        <v>2024</v>
      </c>
      <c r="C1246" s="5">
        <v>1605</v>
      </c>
      <c r="D1246" s="5">
        <v>1635</v>
      </c>
      <c r="E1246" s="5">
        <v>1600</v>
      </c>
      <c r="F1246" s="5">
        <v>1620</v>
      </c>
      <c r="G1246" s="5">
        <v>1423.75</v>
      </c>
      <c r="H1246" s="6">
        <v>42791800</v>
      </c>
      <c r="I1246" s="22" t="str">
        <f t="shared" si="125"/>
        <v>+</v>
      </c>
      <c r="J1246" s="7">
        <f t="shared" si="126"/>
        <v>0.93457943925233633</v>
      </c>
      <c r="K1246" s="7">
        <f t="shared" si="127"/>
        <v>91.543609140350483</v>
      </c>
      <c r="L1246" s="2" t="str">
        <f t="shared" si="122"/>
        <v>Normal</v>
      </c>
      <c r="M1246" s="2" t="str">
        <f t="shared" si="123"/>
        <v>Normal</v>
      </c>
      <c r="N1246" s="2" t="str">
        <f t="shared" si="124"/>
        <v>No</v>
      </c>
    </row>
    <row r="1247" spans="1:14" x14ac:dyDescent="0.25">
      <c r="A1247" s="3">
        <v>45310</v>
      </c>
      <c r="B1247" s="4">
        <v>2024</v>
      </c>
      <c r="C1247" s="5">
        <v>1670</v>
      </c>
      <c r="D1247" s="5">
        <v>1705</v>
      </c>
      <c r="E1247" s="5">
        <v>1640</v>
      </c>
      <c r="F1247" s="5">
        <v>1645</v>
      </c>
      <c r="G1247" s="5">
        <v>1445.72</v>
      </c>
      <c r="H1247" s="6">
        <v>138276200</v>
      </c>
      <c r="I1247" s="22" t="str">
        <f t="shared" si="125"/>
        <v>+</v>
      </c>
      <c r="J1247" s="7">
        <f t="shared" si="126"/>
        <v>1.5432098765432098</v>
      </c>
      <c r="K1247" s="7">
        <f t="shared" si="127"/>
        <v>223.13714309750932</v>
      </c>
      <c r="L1247" s="2" t="str">
        <f t="shared" si="122"/>
        <v>Normal</v>
      </c>
      <c r="M1247" s="2" t="str">
        <f t="shared" si="123"/>
        <v>Sharp Volume Increase</v>
      </c>
      <c r="N1247" s="2" t="str">
        <f t="shared" si="124"/>
        <v>No</v>
      </c>
    </row>
    <row r="1248" spans="1:14" x14ac:dyDescent="0.25">
      <c r="A1248" s="3">
        <v>45313</v>
      </c>
      <c r="B1248" s="4">
        <v>2024</v>
      </c>
      <c r="C1248" s="5">
        <v>1645</v>
      </c>
      <c r="D1248" s="5">
        <v>1665</v>
      </c>
      <c r="E1248" s="5">
        <v>1640</v>
      </c>
      <c r="F1248" s="5">
        <v>1645</v>
      </c>
      <c r="G1248" s="5">
        <v>1445.72</v>
      </c>
      <c r="H1248" s="6">
        <v>40064300</v>
      </c>
      <c r="I1248" s="22" t="str">
        <f t="shared" si="125"/>
        <v>0</v>
      </c>
      <c r="J1248" s="7">
        <f t="shared" si="126"/>
        <v>0</v>
      </c>
      <c r="K1248" s="7">
        <f t="shared" si="127"/>
        <v>-71.025888764660877</v>
      </c>
      <c r="L1248" s="2" t="str">
        <f t="shared" si="122"/>
        <v>Normal</v>
      </c>
      <c r="M1248" s="2" t="str">
        <f t="shared" si="123"/>
        <v>Sharp Volume Decrease</v>
      </c>
      <c r="N1248" s="2" t="str">
        <f t="shared" si="124"/>
        <v>No</v>
      </c>
    </row>
    <row r="1249" spans="1:14" x14ac:dyDescent="0.25">
      <c r="A1249" s="3">
        <v>45314</v>
      </c>
      <c r="B1249" s="4">
        <v>2024</v>
      </c>
      <c r="C1249" s="5">
        <v>1645</v>
      </c>
      <c r="D1249" s="5">
        <v>1650</v>
      </c>
      <c r="E1249" s="5">
        <v>1605</v>
      </c>
      <c r="F1249" s="5">
        <v>1610</v>
      </c>
      <c r="G1249" s="5">
        <v>1414.96</v>
      </c>
      <c r="H1249" s="6">
        <v>45771000</v>
      </c>
      <c r="I1249" s="22" t="str">
        <f t="shared" si="125"/>
        <v>-</v>
      </c>
      <c r="J1249" s="7">
        <f t="shared" si="126"/>
        <v>-2.1276595744680851</v>
      </c>
      <c r="K1249" s="7">
        <f t="shared" si="127"/>
        <v>14.243853006292383</v>
      </c>
      <c r="L1249" s="2" t="str">
        <f t="shared" si="122"/>
        <v>Normal</v>
      </c>
      <c r="M1249" s="2" t="str">
        <f t="shared" si="123"/>
        <v>Normal</v>
      </c>
      <c r="N1249" s="2" t="str">
        <f t="shared" si="124"/>
        <v>No</v>
      </c>
    </row>
    <row r="1250" spans="1:14" x14ac:dyDescent="0.25">
      <c r="A1250" s="3">
        <v>45315</v>
      </c>
      <c r="B1250" s="4">
        <v>2024</v>
      </c>
      <c r="C1250" s="5">
        <v>1610</v>
      </c>
      <c r="D1250" s="5">
        <v>1620</v>
      </c>
      <c r="E1250" s="5">
        <v>1525</v>
      </c>
      <c r="F1250" s="5">
        <v>1535</v>
      </c>
      <c r="G1250" s="5">
        <v>1349.05</v>
      </c>
      <c r="H1250" s="6">
        <v>100907600</v>
      </c>
      <c r="I1250" s="22" t="str">
        <f t="shared" si="125"/>
        <v>-</v>
      </c>
      <c r="J1250" s="7">
        <f t="shared" si="126"/>
        <v>-4.658385093167702</v>
      </c>
      <c r="K1250" s="7">
        <f t="shared" si="127"/>
        <v>120.4618644993555</v>
      </c>
      <c r="L1250" s="2" t="str">
        <f t="shared" si="122"/>
        <v>Sharp Price Decrease</v>
      </c>
      <c r="M1250" s="2" t="str">
        <f t="shared" si="123"/>
        <v>Normal</v>
      </c>
      <c r="N1250" s="2" t="str">
        <f t="shared" si="124"/>
        <v>No</v>
      </c>
    </row>
    <row r="1251" spans="1:14" x14ac:dyDescent="0.25">
      <c r="A1251" s="3">
        <v>45316</v>
      </c>
      <c r="B1251" s="4">
        <v>2024</v>
      </c>
      <c r="C1251" s="5">
        <v>1535</v>
      </c>
      <c r="D1251" s="5">
        <v>1590</v>
      </c>
      <c r="E1251" s="5">
        <v>1535</v>
      </c>
      <c r="F1251" s="5">
        <v>1555</v>
      </c>
      <c r="G1251" s="5">
        <v>1366.62</v>
      </c>
      <c r="H1251" s="6">
        <v>53174200</v>
      </c>
      <c r="I1251" s="22" t="str">
        <f t="shared" si="125"/>
        <v>+</v>
      </c>
      <c r="J1251" s="7">
        <f t="shared" si="126"/>
        <v>1.3029315960912053</v>
      </c>
      <c r="K1251" s="7">
        <f t="shared" si="127"/>
        <v>-47.304068276324088</v>
      </c>
      <c r="L1251" s="2" t="str">
        <f t="shared" si="122"/>
        <v>Normal</v>
      </c>
      <c r="M1251" s="2" t="str">
        <f t="shared" si="123"/>
        <v>Normal</v>
      </c>
      <c r="N1251" s="2" t="str">
        <f t="shared" si="124"/>
        <v>No</v>
      </c>
    </row>
    <row r="1252" spans="1:14" x14ac:dyDescent="0.25">
      <c r="A1252" s="3">
        <v>45317</v>
      </c>
      <c r="B1252" s="4">
        <v>2024</v>
      </c>
      <c r="C1252" s="5">
        <v>1560</v>
      </c>
      <c r="D1252" s="5">
        <v>1580</v>
      </c>
      <c r="E1252" s="5">
        <v>1555</v>
      </c>
      <c r="F1252" s="5">
        <v>1575</v>
      </c>
      <c r="G1252" s="5">
        <v>1384.2</v>
      </c>
      <c r="H1252" s="6">
        <v>36596700</v>
      </c>
      <c r="I1252" s="22" t="str">
        <f t="shared" si="125"/>
        <v>+</v>
      </c>
      <c r="J1252" s="7">
        <f t="shared" si="126"/>
        <v>1.2861736334405145</v>
      </c>
      <c r="K1252" s="7">
        <f t="shared" si="127"/>
        <v>-31.17583339288602</v>
      </c>
      <c r="L1252" s="2" t="str">
        <f t="shared" si="122"/>
        <v>Normal</v>
      </c>
      <c r="M1252" s="2" t="str">
        <f t="shared" si="123"/>
        <v>Normal</v>
      </c>
      <c r="N1252" s="2" t="str">
        <f t="shared" si="124"/>
        <v>No</v>
      </c>
    </row>
    <row r="1253" spans="1:14" x14ac:dyDescent="0.25">
      <c r="A1253" s="3">
        <v>45320</v>
      </c>
      <c r="B1253" s="4">
        <v>2024</v>
      </c>
      <c r="C1253" s="5">
        <v>1575</v>
      </c>
      <c r="D1253" s="5">
        <v>1595</v>
      </c>
      <c r="E1253" s="5">
        <v>1550</v>
      </c>
      <c r="F1253" s="5">
        <v>1565</v>
      </c>
      <c r="G1253" s="5">
        <v>1375.41</v>
      </c>
      <c r="H1253" s="6">
        <v>25068100</v>
      </c>
      <c r="I1253" s="22" t="str">
        <f t="shared" si="125"/>
        <v>-</v>
      </c>
      <c r="J1253" s="7">
        <f t="shared" si="126"/>
        <v>-0.63492063492063489</v>
      </c>
      <c r="K1253" s="7">
        <f t="shared" si="127"/>
        <v>-31.501747425314303</v>
      </c>
      <c r="L1253" s="2" t="str">
        <f t="shared" si="122"/>
        <v>Normal</v>
      </c>
      <c r="M1253" s="2" t="str">
        <f t="shared" si="123"/>
        <v>Normal</v>
      </c>
      <c r="N1253" s="2" t="str">
        <f t="shared" si="124"/>
        <v>No</v>
      </c>
    </row>
    <row r="1254" spans="1:14" x14ac:dyDescent="0.25">
      <c r="A1254" s="3">
        <v>45321</v>
      </c>
      <c r="B1254" s="4">
        <v>2024</v>
      </c>
      <c r="C1254" s="5">
        <v>1565</v>
      </c>
      <c r="D1254" s="5">
        <v>1570</v>
      </c>
      <c r="E1254" s="5">
        <v>1560</v>
      </c>
      <c r="F1254" s="5">
        <v>1565</v>
      </c>
      <c r="G1254" s="5">
        <v>1375.41</v>
      </c>
      <c r="H1254" s="6">
        <v>21896800</v>
      </c>
      <c r="I1254" s="22" t="str">
        <f t="shared" si="125"/>
        <v>0</v>
      </c>
      <c r="J1254" s="7">
        <f t="shared" si="126"/>
        <v>0</v>
      </c>
      <c r="K1254" s="7">
        <f t="shared" si="127"/>
        <v>-12.650739385912773</v>
      </c>
      <c r="L1254" s="2" t="str">
        <f t="shared" si="122"/>
        <v>Normal</v>
      </c>
      <c r="M1254" s="2" t="str">
        <f t="shared" si="123"/>
        <v>Normal</v>
      </c>
      <c r="N1254" s="2" t="str">
        <f t="shared" si="124"/>
        <v>No</v>
      </c>
    </row>
    <row r="1255" spans="1:14" x14ac:dyDescent="0.25">
      <c r="A1255" s="3">
        <v>45322</v>
      </c>
      <c r="B1255" s="4">
        <v>2024</v>
      </c>
      <c r="C1255" s="5">
        <v>1565</v>
      </c>
      <c r="D1255" s="5">
        <v>1585</v>
      </c>
      <c r="E1255" s="5">
        <v>1550</v>
      </c>
      <c r="F1255" s="5">
        <v>1550</v>
      </c>
      <c r="G1255" s="5">
        <v>1362.23</v>
      </c>
      <c r="H1255" s="6">
        <v>23365800</v>
      </c>
      <c r="I1255" s="22" t="str">
        <f t="shared" si="125"/>
        <v>-</v>
      </c>
      <c r="J1255" s="7">
        <f t="shared" si="126"/>
        <v>-0.95846645367412142</v>
      </c>
      <c r="K1255" s="7">
        <f t="shared" si="127"/>
        <v>6.7087428300025582</v>
      </c>
      <c r="L1255" s="2" t="str">
        <f t="shared" si="122"/>
        <v>Normal</v>
      </c>
      <c r="M1255" s="2" t="str">
        <f t="shared" si="123"/>
        <v>Normal</v>
      </c>
      <c r="N1255" s="2" t="str">
        <f t="shared" si="124"/>
        <v>No</v>
      </c>
    </row>
    <row r="1256" spans="1:14" x14ac:dyDescent="0.25">
      <c r="A1256" s="3">
        <v>45323</v>
      </c>
      <c r="B1256" s="4">
        <v>2024</v>
      </c>
      <c r="C1256" s="5">
        <v>1550</v>
      </c>
      <c r="D1256" s="5">
        <v>1570</v>
      </c>
      <c r="E1256" s="5">
        <v>1535</v>
      </c>
      <c r="F1256" s="5">
        <v>1535</v>
      </c>
      <c r="G1256" s="5">
        <v>1349.05</v>
      </c>
      <c r="H1256" s="6">
        <v>21202800</v>
      </c>
      <c r="I1256" s="22" t="str">
        <f t="shared" si="125"/>
        <v>-</v>
      </c>
      <c r="J1256" s="7">
        <f t="shared" si="126"/>
        <v>-0.967741935483871</v>
      </c>
      <c r="K1256" s="7">
        <f t="shared" si="127"/>
        <v>-9.25711937960609</v>
      </c>
      <c r="L1256" s="2" t="str">
        <f t="shared" si="122"/>
        <v>Normal</v>
      </c>
      <c r="M1256" s="2" t="str">
        <f t="shared" si="123"/>
        <v>Normal</v>
      </c>
      <c r="N1256" s="2" t="str">
        <f t="shared" si="124"/>
        <v>No</v>
      </c>
    </row>
    <row r="1257" spans="1:14" x14ac:dyDescent="0.25">
      <c r="A1257" s="3">
        <v>45324</v>
      </c>
      <c r="B1257" s="4">
        <v>2024</v>
      </c>
      <c r="C1257" s="5">
        <v>1535</v>
      </c>
      <c r="D1257" s="5">
        <v>1550</v>
      </c>
      <c r="E1257" s="5">
        <v>1525</v>
      </c>
      <c r="F1257" s="5">
        <v>1525</v>
      </c>
      <c r="G1257" s="5">
        <v>1340.26</v>
      </c>
      <c r="H1257" s="6">
        <v>46157600</v>
      </c>
      <c r="I1257" s="22" t="str">
        <f t="shared" si="125"/>
        <v>-</v>
      </c>
      <c r="J1257" s="7">
        <f t="shared" si="126"/>
        <v>-0.65146579804560267</v>
      </c>
      <c r="K1257" s="7">
        <f t="shared" si="127"/>
        <v>117.69577602958098</v>
      </c>
      <c r="L1257" s="2" t="str">
        <f t="shared" si="122"/>
        <v>Normal</v>
      </c>
      <c r="M1257" s="2" t="str">
        <f t="shared" si="123"/>
        <v>Normal</v>
      </c>
      <c r="N1257" s="2" t="str">
        <f t="shared" si="124"/>
        <v>No</v>
      </c>
    </row>
    <row r="1258" spans="1:14" x14ac:dyDescent="0.25">
      <c r="A1258" s="3">
        <v>45327</v>
      </c>
      <c r="B1258" s="4">
        <v>2024</v>
      </c>
      <c r="C1258" s="5">
        <v>1525</v>
      </c>
      <c r="D1258" s="5">
        <v>1540</v>
      </c>
      <c r="E1258" s="5">
        <v>1440</v>
      </c>
      <c r="F1258" s="5">
        <v>1440</v>
      </c>
      <c r="G1258" s="5">
        <v>1265.55</v>
      </c>
      <c r="H1258" s="6">
        <v>109746600</v>
      </c>
      <c r="I1258" s="22" t="str">
        <f t="shared" si="125"/>
        <v>-</v>
      </c>
      <c r="J1258" s="7">
        <f t="shared" si="126"/>
        <v>-5.5737704918032787</v>
      </c>
      <c r="K1258" s="7">
        <f t="shared" si="127"/>
        <v>137.7649617831083</v>
      </c>
      <c r="L1258" s="2" t="str">
        <f t="shared" si="122"/>
        <v>Sharp Price Decrease</v>
      </c>
      <c r="M1258" s="2" t="str">
        <f t="shared" si="123"/>
        <v>Normal</v>
      </c>
      <c r="N1258" s="2" t="str">
        <f t="shared" si="124"/>
        <v>No</v>
      </c>
    </row>
    <row r="1259" spans="1:14" x14ac:dyDescent="0.25">
      <c r="A1259" s="3">
        <v>45328</v>
      </c>
      <c r="B1259" s="4">
        <v>2024</v>
      </c>
      <c r="C1259" s="5">
        <v>1445</v>
      </c>
      <c r="D1259" s="5">
        <v>1470</v>
      </c>
      <c r="E1259" s="5">
        <v>1410</v>
      </c>
      <c r="F1259" s="5">
        <v>1425</v>
      </c>
      <c r="G1259" s="5">
        <v>1252.3699999999999</v>
      </c>
      <c r="H1259" s="6">
        <v>59462600</v>
      </c>
      <c r="I1259" s="22" t="str">
        <f t="shared" si="125"/>
        <v>-</v>
      </c>
      <c r="J1259" s="7">
        <f t="shared" si="126"/>
        <v>-1.0416666666666665</v>
      </c>
      <c r="K1259" s="7">
        <f t="shared" si="127"/>
        <v>-45.818275919253992</v>
      </c>
      <c r="L1259" s="2" t="str">
        <f t="shared" si="122"/>
        <v>Normal</v>
      </c>
      <c r="M1259" s="2" t="str">
        <f t="shared" si="123"/>
        <v>Normal</v>
      </c>
      <c r="N1259" s="2" t="str">
        <f t="shared" si="124"/>
        <v>No</v>
      </c>
    </row>
    <row r="1260" spans="1:14" x14ac:dyDescent="0.25">
      <c r="A1260" s="3">
        <v>45329</v>
      </c>
      <c r="B1260" s="4">
        <v>2024</v>
      </c>
      <c r="C1260" s="5">
        <v>1430</v>
      </c>
      <c r="D1260" s="5">
        <v>1440</v>
      </c>
      <c r="E1260" s="5">
        <v>1405</v>
      </c>
      <c r="F1260" s="5">
        <v>1410</v>
      </c>
      <c r="G1260" s="5">
        <v>1239.19</v>
      </c>
      <c r="H1260" s="6">
        <v>51571600</v>
      </c>
      <c r="I1260" s="22" t="str">
        <f t="shared" si="125"/>
        <v>-</v>
      </c>
      <c r="J1260" s="7">
        <f t="shared" si="126"/>
        <v>-1.0526315789473684</v>
      </c>
      <c r="K1260" s="7">
        <f t="shared" si="127"/>
        <v>-13.270526347653819</v>
      </c>
      <c r="L1260" s="2" t="str">
        <f t="shared" si="122"/>
        <v>Normal</v>
      </c>
      <c r="M1260" s="2" t="str">
        <f t="shared" si="123"/>
        <v>Normal</v>
      </c>
      <c r="N1260" s="2" t="str">
        <f t="shared" si="124"/>
        <v>No</v>
      </c>
    </row>
    <row r="1261" spans="1:14" x14ac:dyDescent="0.25">
      <c r="A1261" s="3">
        <v>45334</v>
      </c>
      <c r="B1261" s="4">
        <v>2024</v>
      </c>
      <c r="C1261" s="5">
        <v>1415</v>
      </c>
      <c r="D1261" s="5">
        <v>1470</v>
      </c>
      <c r="E1261" s="5">
        <v>1415</v>
      </c>
      <c r="F1261" s="5">
        <v>1465</v>
      </c>
      <c r="G1261" s="5">
        <v>1287.53</v>
      </c>
      <c r="H1261" s="6">
        <v>38567300</v>
      </c>
      <c r="I1261" s="22" t="str">
        <f t="shared" si="125"/>
        <v>+</v>
      </c>
      <c r="J1261" s="7">
        <f t="shared" si="126"/>
        <v>3.9007092198581561</v>
      </c>
      <c r="K1261" s="7">
        <f t="shared" si="127"/>
        <v>-25.216010362292423</v>
      </c>
      <c r="L1261" s="2" t="str">
        <f t="shared" si="122"/>
        <v>Normal</v>
      </c>
      <c r="M1261" s="2" t="str">
        <f t="shared" si="123"/>
        <v>Normal</v>
      </c>
      <c r="N1261" s="2" t="str">
        <f t="shared" si="124"/>
        <v>No</v>
      </c>
    </row>
    <row r="1262" spans="1:14" x14ac:dyDescent="0.25">
      <c r="A1262" s="3">
        <v>45335</v>
      </c>
      <c r="B1262" s="4">
        <v>2024</v>
      </c>
      <c r="C1262" s="5">
        <v>1515</v>
      </c>
      <c r="D1262" s="5">
        <v>1580</v>
      </c>
      <c r="E1262" s="5">
        <v>1485</v>
      </c>
      <c r="F1262" s="5">
        <v>1545</v>
      </c>
      <c r="G1262" s="5">
        <v>1357.83</v>
      </c>
      <c r="H1262" s="6">
        <v>140446400</v>
      </c>
      <c r="I1262" s="22" t="str">
        <f t="shared" si="125"/>
        <v>+</v>
      </c>
      <c r="J1262" s="7">
        <f t="shared" si="126"/>
        <v>5.4607508532423212</v>
      </c>
      <c r="K1262" s="7">
        <f t="shared" si="127"/>
        <v>264.15927482608328</v>
      </c>
      <c r="L1262" s="2" t="str">
        <f t="shared" si="122"/>
        <v>Sharp Price Increase</v>
      </c>
      <c r="M1262" s="2" t="str">
        <f t="shared" si="123"/>
        <v>Sharp Volume Increase</v>
      </c>
      <c r="N1262" s="2" t="str">
        <f t="shared" si="124"/>
        <v>Yes</v>
      </c>
    </row>
    <row r="1263" spans="1:14" x14ac:dyDescent="0.25">
      <c r="A1263" s="3">
        <v>45337</v>
      </c>
      <c r="B1263" s="4">
        <v>2024</v>
      </c>
      <c r="C1263" s="5">
        <v>1570</v>
      </c>
      <c r="D1263" s="5">
        <v>1580</v>
      </c>
      <c r="E1263" s="5">
        <v>1535</v>
      </c>
      <c r="F1263" s="5">
        <v>1540</v>
      </c>
      <c r="G1263" s="5">
        <v>1353.44</v>
      </c>
      <c r="H1263" s="6">
        <v>62446100</v>
      </c>
      <c r="I1263" s="22" t="str">
        <f t="shared" si="125"/>
        <v>-</v>
      </c>
      <c r="J1263" s="7">
        <f t="shared" si="126"/>
        <v>-0.3236245954692557</v>
      </c>
      <c r="K1263" s="7">
        <f t="shared" si="127"/>
        <v>-55.537414985360968</v>
      </c>
      <c r="L1263" s="2" t="str">
        <f t="shared" si="122"/>
        <v>Normal</v>
      </c>
      <c r="M1263" s="2" t="str">
        <f t="shared" si="123"/>
        <v>Normal</v>
      </c>
      <c r="N1263" s="2" t="str">
        <f t="shared" si="124"/>
        <v>No</v>
      </c>
    </row>
    <row r="1264" spans="1:14" x14ac:dyDescent="0.25">
      <c r="A1264" s="3">
        <v>45338</v>
      </c>
      <c r="B1264" s="4">
        <v>2024</v>
      </c>
      <c r="C1264" s="5">
        <v>1545</v>
      </c>
      <c r="D1264" s="5">
        <v>1560</v>
      </c>
      <c r="E1264" s="5">
        <v>1530</v>
      </c>
      <c r="F1264" s="5">
        <v>1530</v>
      </c>
      <c r="G1264" s="5">
        <v>1344.65</v>
      </c>
      <c r="H1264" s="6">
        <v>27133500</v>
      </c>
      <c r="I1264" s="22" t="str">
        <f t="shared" si="125"/>
        <v>-</v>
      </c>
      <c r="J1264" s="7">
        <f t="shared" si="126"/>
        <v>-0.64935064935064934</v>
      </c>
      <c r="K1264" s="7">
        <f t="shared" si="127"/>
        <v>-56.548927795330698</v>
      </c>
      <c r="L1264" s="2" t="str">
        <f t="shared" si="122"/>
        <v>Normal</v>
      </c>
      <c r="M1264" s="2" t="str">
        <f t="shared" si="123"/>
        <v>Normal</v>
      </c>
      <c r="N1264" s="2" t="str">
        <f t="shared" si="124"/>
        <v>No</v>
      </c>
    </row>
    <row r="1265" spans="1:14" x14ac:dyDescent="0.25">
      <c r="A1265" s="3">
        <v>45341</v>
      </c>
      <c r="B1265" s="4">
        <v>2024</v>
      </c>
      <c r="C1265" s="5">
        <v>1545</v>
      </c>
      <c r="D1265" s="5">
        <v>1545</v>
      </c>
      <c r="E1265" s="5">
        <v>1505</v>
      </c>
      <c r="F1265" s="5">
        <v>1515</v>
      </c>
      <c r="G1265" s="5">
        <v>1331.47</v>
      </c>
      <c r="H1265" s="6">
        <v>25251500</v>
      </c>
      <c r="I1265" s="22" t="str">
        <f t="shared" si="125"/>
        <v>-</v>
      </c>
      <c r="J1265" s="7">
        <f t="shared" si="126"/>
        <v>-0.98039215686274506</v>
      </c>
      <c r="K1265" s="7">
        <f t="shared" si="127"/>
        <v>-6.9360753312326091</v>
      </c>
      <c r="L1265" s="2" t="str">
        <f t="shared" si="122"/>
        <v>Normal</v>
      </c>
      <c r="M1265" s="2" t="str">
        <f t="shared" si="123"/>
        <v>Normal</v>
      </c>
      <c r="N1265" s="2" t="str">
        <f t="shared" si="124"/>
        <v>No</v>
      </c>
    </row>
    <row r="1266" spans="1:14" x14ac:dyDescent="0.25">
      <c r="A1266" s="3">
        <v>45342</v>
      </c>
      <c r="B1266" s="4">
        <v>2024</v>
      </c>
      <c r="C1266" s="5">
        <v>1515</v>
      </c>
      <c r="D1266" s="5">
        <v>1525</v>
      </c>
      <c r="E1266" s="5">
        <v>1505</v>
      </c>
      <c r="F1266" s="5">
        <v>1505</v>
      </c>
      <c r="G1266" s="5">
        <v>1322.68</v>
      </c>
      <c r="H1266" s="6">
        <v>29689600</v>
      </c>
      <c r="I1266" s="22" t="str">
        <f t="shared" si="125"/>
        <v>-</v>
      </c>
      <c r="J1266" s="7">
        <f t="shared" si="126"/>
        <v>-0.66006600660066006</v>
      </c>
      <c r="K1266" s="7">
        <f t="shared" si="127"/>
        <v>17.575589568936497</v>
      </c>
      <c r="L1266" s="2" t="str">
        <f t="shared" si="122"/>
        <v>Normal</v>
      </c>
      <c r="M1266" s="2" t="str">
        <f t="shared" si="123"/>
        <v>Normal</v>
      </c>
      <c r="N1266" s="2" t="str">
        <f t="shared" si="124"/>
        <v>No</v>
      </c>
    </row>
    <row r="1267" spans="1:14" x14ac:dyDescent="0.25">
      <c r="A1267" s="3">
        <v>45343</v>
      </c>
      <c r="B1267" s="4">
        <v>2024</v>
      </c>
      <c r="C1267" s="5">
        <v>1505</v>
      </c>
      <c r="D1267" s="5">
        <v>1515</v>
      </c>
      <c r="E1267" s="5">
        <v>1455</v>
      </c>
      <c r="F1267" s="5">
        <v>1470</v>
      </c>
      <c r="G1267" s="5">
        <v>1291.92</v>
      </c>
      <c r="H1267" s="6">
        <v>49738700</v>
      </c>
      <c r="I1267" s="22" t="str">
        <f t="shared" si="125"/>
        <v>-</v>
      </c>
      <c r="J1267" s="7">
        <f t="shared" si="126"/>
        <v>-2.3255813953488373</v>
      </c>
      <c r="K1267" s="7">
        <f t="shared" si="127"/>
        <v>67.529033735718897</v>
      </c>
      <c r="L1267" s="2" t="str">
        <f t="shared" si="122"/>
        <v>Normal</v>
      </c>
      <c r="M1267" s="2" t="str">
        <f t="shared" si="123"/>
        <v>Normal</v>
      </c>
      <c r="N1267" s="2" t="str">
        <f t="shared" si="124"/>
        <v>No</v>
      </c>
    </row>
    <row r="1268" spans="1:14" x14ac:dyDescent="0.25">
      <c r="A1268" s="3">
        <v>45344</v>
      </c>
      <c r="B1268" s="4">
        <v>2024</v>
      </c>
      <c r="C1268" s="5">
        <v>1480</v>
      </c>
      <c r="D1268" s="5">
        <v>1520</v>
      </c>
      <c r="E1268" s="5">
        <v>1480</v>
      </c>
      <c r="F1268" s="5">
        <v>1500</v>
      </c>
      <c r="G1268" s="5">
        <v>1318.29</v>
      </c>
      <c r="H1268" s="6">
        <v>46945600</v>
      </c>
      <c r="I1268" s="22" t="str">
        <f t="shared" si="125"/>
        <v>+</v>
      </c>
      <c r="J1268" s="7">
        <f t="shared" si="126"/>
        <v>2.0408163265306123</v>
      </c>
      <c r="K1268" s="7">
        <f t="shared" si="127"/>
        <v>-5.6155468478267423</v>
      </c>
      <c r="L1268" s="2" t="str">
        <f t="shared" si="122"/>
        <v>Normal</v>
      </c>
      <c r="M1268" s="2" t="str">
        <f t="shared" si="123"/>
        <v>Normal</v>
      </c>
      <c r="N1268" s="2" t="str">
        <f t="shared" si="124"/>
        <v>No</v>
      </c>
    </row>
    <row r="1269" spans="1:14" x14ac:dyDescent="0.25">
      <c r="A1269" s="3">
        <v>45345</v>
      </c>
      <c r="B1269" s="4">
        <v>2024</v>
      </c>
      <c r="C1269" s="5">
        <v>1525</v>
      </c>
      <c r="D1269" s="5">
        <v>1550</v>
      </c>
      <c r="E1269" s="5">
        <v>1505</v>
      </c>
      <c r="F1269" s="5">
        <v>1550</v>
      </c>
      <c r="G1269" s="5">
        <v>1362.23</v>
      </c>
      <c r="H1269" s="6">
        <v>58962900</v>
      </c>
      <c r="I1269" s="22" t="str">
        <f t="shared" si="125"/>
        <v>+</v>
      </c>
      <c r="J1269" s="7">
        <f t="shared" si="126"/>
        <v>3.3333333333333335</v>
      </c>
      <c r="K1269" s="7">
        <f t="shared" si="127"/>
        <v>25.598352135237377</v>
      </c>
      <c r="L1269" s="2" t="str">
        <f t="shared" si="122"/>
        <v>Normal</v>
      </c>
      <c r="M1269" s="2" t="str">
        <f t="shared" si="123"/>
        <v>Normal</v>
      </c>
      <c r="N1269" s="2" t="str">
        <f t="shared" si="124"/>
        <v>No</v>
      </c>
    </row>
    <row r="1270" spans="1:14" x14ac:dyDescent="0.25">
      <c r="A1270" s="3">
        <v>45348</v>
      </c>
      <c r="B1270" s="4">
        <v>2024</v>
      </c>
      <c r="C1270" s="5">
        <v>1555</v>
      </c>
      <c r="D1270" s="5">
        <v>1565</v>
      </c>
      <c r="E1270" s="5">
        <v>1510</v>
      </c>
      <c r="F1270" s="5">
        <v>1515</v>
      </c>
      <c r="G1270" s="5">
        <v>1331.47</v>
      </c>
      <c r="H1270" s="6">
        <v>26407900</v>
      </c>
      <c r="I1270" s="22" t="str">
        <f t="shared" si="125"/>
        <v>-</v>
      </c>
      <c r="J1270" s="7">
        <f t="shared" si="126"/>
        <v>-2.258064516129032</v>
      </c>
      <c r="K1270" s="7">
        <f t="shared" si="127"/>
        <v>-55.212684586409424</v>
      </c>
      <c r="L1270" s="2" t="str">
        <f t="shared" si="122"/>
        <v>Normal</v>
      </c>
      <c r="M1270" s="2" t="str">
        <f t="shared" si="123"/>
        <v>Normal</v>
      </c>
      <c r="N1270" s="2" t="str">
        <f t="shared" si="124"/>
        <v>No</v>
      </c>
    </row>
    <row r="1271" spans="1:14" x14ac:dyDescent="0.25">
      <c r="A1271" s="3">
        <v>45349</v>
      </c>
      <c r="B1271" s="4">
        <v>2024</v>
      </c>
      <c r="C1271" s="5">
        <v>1515</v>
      </c>
      <c r="D1271" s="5">
        <v>1515</v>
      </c>
      <c r="E1271" s="5">
        <v>1470</v>
      </c>
      <c r="F1271" s="5">
        <v>1480</v>
      </c>
      <c r="G1271" s="5">
        <v>1300.71</v>
      </c>
      <c r="H1271" s="6">
        <v>45781700</v>
      </c>
      <c r="I1271" s="22" t="str">
        <f t="shared" si="125"/>
        <v>-</v>
      </c>
      <c r="J1271" s="7">
        <f t="shared" si="126"/>
        <v>-2.3102310231023102</v>
      </c>
      <c r="K1271" s="7">
        <f t="shared" si="127"/>
        <v>73.363652543367706</v>
      </c>
      <c r="L1271" s="2" t="str">
        <f t="shared" si="122"/>
        <v>Normal</v>
      </c>
      <c r="M1271" s="2" t="str">
        <f t="shared" si="123"/>
        <v>Normal</v>
      </c>
      <c r="N1271" s="2" t="str">
        <f t="shared" si="124"/>
        <v>No</v>
      </c>
    </row>
    <row r="1272" spans="1:14" x14ac:dyDescent="0.25">
      <c r="A1272" s="3">
        <v>45350</v>
      </c>
      <c r="B1272" s="4">
        <v>2024</v>
      </c>
      <c r="C1272" s="5">
        <v>1490</v>
      </c>
      <c r="D1272" s="5">
        <v>1500</v>
      </c>
      <c r="E1272" s="5">
        <v>1470</v>
      </c>
      <c r="F1272" s="5">
        <v>1490</v>
      </c>
      <c r="G1272" s="5">
        <v>1309.5</v>
      </c>
      <c r="H1272" s="6">
        <v>22569900</v>
      </c>
      <c r="I1272" s="22" t="str">
        <f t="shared" si="125"/>
        <v>+</v>
      </c>
      <c r="J1272" s="7">
        <f t="shared" si="126"/>
        <v>0.67567567567567566</v>
      </c>
      <c r="K1272" s="7">
        <f t="shared" si="127"/>
        <v>-50.701044303728352</v>
      </c>
      <c r="L1272" s="2" t="str">
        <f t="shared" si="122"/>
        <v>Normal</v>
      </c>
      <c r="M1272" s="2" t="str">
        <f t="shared" si="123"/>
        <v>Normal</v>
      </c>
      <c r="N1272" s="2" t="str">
        <f t="shared" si="124"/>
        <v>No</v>
      </c>
    </row>
    <row r="1273" spans="1:14" x14ac:dyDescent="0.25">
      <c r="A1273" s="3">
        <v>45351</v>
      </c>
      <c r="B1273" s="4">
        <v>2024</v>
      </c>
      <c r="C1273" s="5">
        <v>1495</v>
      </c>
      <c r="D1273" s="5">
        <v>1505</v>
      </c>
      <c r="E1273" s="5">
        <v>1460</v>
      </c>
      <c r="F1273" s="5">
        <v>1460</v>
      </c>
      <c r="G1273" s="5">
        <v>1283.1300000000001</v>
      </c>
      <c r="H1273" s="6">
        <v>48482200</v>
      </c>
      <c r="I1273" s="22" t="str">
        <f t="shared" si="125"/>
        <v>-</v>
      </c>
      <c r="J1273" s="7">
        <f t="shared" si="126"/>
        <v>-2.0134228187919461</v>
      </c>
      <c r="K1273" s="7">
        <f t="shared" si="127"/>
        <v>114.80910416085139</v>
      </c>
      <c r="L1273" s="2" t="str">
        <f t="shared" si="122"/>
        <v>Normal</v>
      </c>
      <c r="M1273" s="2" t="str">
        <f t="shared" si="123"/>
        <v>Normal</v>
      </c>
      <c r="N1273" s="2" t="str">
        <f t="shared" si="124"/>
        <v>No</v>
      </c>
    </row>
    <row r="1274" spans="1:14" x14ac:dyDescent="0.25">
      <c r="A1274" s="3">
        <v>45352</v>
      </c>
      <c r="B1274" s="4">
        <v>2024</v>
      </c>
      <c r="C1274" s="5">
        <v>1465</v>
      </c>
      <c r="D1274" s="5">
        <v>1490</v>
      </c>
      <c r="E1274" s="5">
        <v>1465</v>
      </c>
      <c r="F1274" s="5">
        <v>1480</v>
      </c>
      <c r="G1274" s="5">
        <v>1300.71</v>
      </c>
      <c r="H1274" s="6">
        <v>27751500</v>
      </c>
      <c r="I1274" s="22" t="str">
        <f t="shared" si="125"/>
        <v>+</v>
      </c>
      <c r="J1274" s="7">
        <f t="shared" si="126"/>
        <v>1.3698630136986301</v>
      </c>
      <c r="K1274" s="7">
        <f t="shared" si="127"/>
        <v>-42.759404482469854</v>
      </c>
      <c r="L1274" s="2" t="str">
        <f t="shared" si="122"/>
        <v>Normal</v>
      </c>
      <c r="M1274" s="2" t="str">
        <f t="shared" si="123"/>
        <v>Normal</v>
      </c>
      <c r="N1274" s="2" t="str">
        <f t="shared" si="124"/>
        <v>No</v>
      </c>
    </row>
    <row r="1275" spans="1:14" x14ac:dyDescent="0.25">
      <c r="A1275" s="3">
        <v>45355</v>
      </c>
      <c r="B1275" s="4">
        <v>2024</v>
      </c>
      <c r="C1275" s="5">
        <v>1495</v>
      </c>
      <c r="D1275" s="5">
        <v>1500</v>
      </c>
      <c r="E1275" s="5">
        <v>1460</v>
      </c>
      <c r="F1275" s="5">
        <v>1460</v>
      </c>
      <c r="G1275" s="5">
        <v>1283.1300000000001</v>
      </c>
      <c r="H1275" s="6">
        <v>31713700</v>
      </c>
      <c r="I1275" s="22" t="str">
        <f t="shared" si="125"/>
        <v>-</v>
      </c>
      <c r="J1275" s="7">
        <f t="shared" si="126"/>
        <v>-1.3513513513513513</v>
      </c>
      <c r="K1275" s="7">
        <f t="shared" si="127"/>
        <v>14.277426445417365</v>
      </c>
      <c r="L1275" s="2" t="str">
        <f t="shared" si="122"/>
        <v>Normal</v>
      </c>
      <c r="M1275" s="2" t="str">
        <f t="shared" si="123"/>
        <v>Normal</v>
      </c>
      <c r="N1275" s="2" t="str">
        <f t="shared" si="124"/>
        <v>No</v>
      </c>
    </row>
    <row r="1276" spans="1:14" x14ac:dyDescent="0.25">
      <c r="A1276" s="3">
        <v>45356</v>
      </c>
      <c r="B1276" s="4">
        <v>2024</v>
      </c>
      <c r="C1276" s="5">
        <v>1470</v>
      </c>
      <c r="D1276" s="5">
        <v>1485</v>
      </c>
      <c r="E1276" s="5">
        <v>1460</v>
      </c>
      <c r="F1276" s="5">
        <v>1460</v>
      </c>
      <c r="G1276" s="5">
        <v>1283.1300000000001</v>
      </c>
      <c r="H1276" s="6">
        <v>37549800</v>
      </c>
      <c r="I1276" s="22" t="str">
        <f t="shared" si="125"/>
        <v>0</v>
      </c>
      <c r="J1276" s="7">
        <f t="shared" si="126"/>
        <v>0</v>
      </c>
      <c r="K1276" s="7">
        <f t="shared" si="127"/>
        <v>18.402456982313637</v>
      </c>
      <c r="L1276" s="2" t="str">
        <f t="shared" si="122"/>
        <v>Normal</v>
      </c>
      <c r="M1276" s="2" t="str">
        <f t="shared" si="123"/>
        <v>Normal</v>
      </c>
      <c r="N1276" s="2" t="str">
        <f t="shared" si="124"/>
        <v>No</v>
      </c>
    </row>
    <row r="1277" spans="1:14" x14ac:dyDescent="0.25">
      <c r="A1277" s="3">
        <v>45357</v>
      </c>
      <c r="B1277" s="4">
        <v>2024</v>
      </c>
      <c r="C1277" s="5">
        <v>1465</v>
      </c>
      <c r="D1277" s="5">
        <v>1540</v>
      </c>
      <c r="E1277" s="5">
        <v>1465</v>
      </c>
      <c r="F1277" s="5">
        <v>1525</v>
      </c>
      <c r="G1277" s="5">
        <v>1340.26</v>
      </c>
      <c r="H1277" s="6">
        <v>81197000</v>
      </c>
      <c r="I1277" s="22" t="str">
        <f t="shared" si="125"/>
        <v>+</v>
      </c>
      <c r="J1277" s="7">
        <f t="shared" si="126"/>
        <v>4.4520547945205475</v>
      </c>
      <c r="K1277" s="7">
        <f t="shared" si="127"/>
        <v>116.23816904484178</v>
      </c>
      <c r="L1277" s="2" t="str">
        <f t="shared" si="122"/>
        <v>Normal</v>
      </c>
      <c r="M1277" s="2" t="str">
        <f t="shared" si="123"/>
        <v>Normal</v>
      </c>
      <c r="N1277" s="2" t="str">
        <f t="shared" si="124"/>
        <v>No</v>
      </c>
    </row>
    <row r="1278" spans="1:14" x14ac:dyDescent="0.25">
      <c r="A1278" s="3">
        <v>45358</v>
      </c>
      <c r="B1278" s="4">
        <v>2024</v>
      </c>
      <c r="C1278" s="5">
        <v>1535</v>
      </c>
      <c r="D1278" s="5">
        <v>1580</v>
      </c>
      <c r="E1278" s="5">
        <v>1535</v>
      </c>
      <c r="F1278" s="5">
        <v>1575</v>
      </c>
      <c r="G1278" s="5">
        <v>1384.2</v>
      </c>
      <c r="H1278" s="6">
        <v>84824100</v>
      </c>
      <c r="I1278" s="22" t="str">
        <f t="shared" si="125"/>
        <v>+</v>
      </c>
      <c r="J1278" s="7">
        <f t="shared" si="126"/>
        <v>3.278688524590164</v>
      </c>
      <c r="K1278" s="7">
        <f t="shared" si="127"/>
        <v>4.4670369594935773</v>
      </c>
      <c r="L1278" s="2" t="str">
        <f t="shared" si="122"/>
        <v>Normal</v>
      </c>
      <c r="M1278" s="2" t="str">
        <f t="shared" si="123"/>
        <v>Normal</v>
      </c>
      <c r="N1278" s="2" t="str">
        <f t="shared" si="124"/>
        <v>No</v>
      </c>
    </row>
    <row r="1279" spans="1:14" x14ac:dyDescent="0.25">
      <c r="A1279" s="3">
        <v>45359</v>
      </c>
      <c r="B1279" s="4">
        <v>2024</v>
      </c>
      <c r="C1279" s="5">
        <v>1595</v>
      </c>
      <c r="D1279" s="5">
        <v>1600</v>
      </c>
      <c r="E1279" s="5">
        <v>1550</v>
      </c>
      <c r="F1279" s="5">
        <v>1565</v>
      </c>
      <c r="G1279" s="5">
        <v>1375.41</v>
      </c>
      <c r="H1279" s="6">
        <v>52659100</v>
      </c>
      <c r="I1279" s="22" t="str">
        <f t="shared" si="125"/>
        <v>-</v>
      </c>
      <c r="J1279" s="7">
        <f t="shared" si="126"/>
        <v>-0.63492063492063489</v>
      </c>
      <c r="K1279" s="7">
        <f t="shared" si="127"/>
        <v>-37.919647835933418</v>
      </c>
      <c r="L1279" s="2" t="str">
        <f t="shared" si="122"/>
        <v>Normal</v>
      </c>
      <c r="M1279" s="2" t="str">
        <f t="shared" si="123"/>
        <v>Normal</v>
      </c>
      <c r="N1279" s="2" t="str">
        <f t="shared" si="124"/>
        <v>No</v>
      </c>
    </row>
    <row r="1280" spans="1:14" x14ac:dyDescent="0.25">
      <c r="A1280" s="3">
        <v>45364</v>
      </c>
      <c r="B1280" s="4">
        <v>2024</v>
      </c>
      <c r="C1280" s="5">
        <v>1575</v>
      </c>
      <c r="D1280" s="5">
        <v>1635</v>
      </c>
      <c r="E1280" s="5">
        <v>1575</v>
      </c>
      <c r="F1280" s="5">
        <v>1620</v>
      </c>
      <c r="G1280" s="5">
        <v>1423.75</v>
      </c>
      <c r="H1280" s="6">
        <v>116310700</v>
      </c>
      <c r="I1280" s="22" t="str">
        <f t="shared" si="125"/>
        <v>+</v>
      </c>
      <c r="J1280" s="7">
        <f t="shared" si="126"/>
        <v>3.5143769968051117</v>
      </c>
      <c r="K1280" s="7">
        <f t="shared" si="127"/>
        <v>120.87483454901431</v>
      </c>
      <c r="L1280" s="2" t="str">
        <f t="shared" si="122"/>
        <v>Normal</v>
      </c>
      <c r="M1280" s="2" t="str">
        <f t="shared" si="123"/>
        <v>Normal</v>
      </c>
      <c r="N1280" s="2" t="str">
        <f t="shared" si="124"/>
        <v>No</v>
      </c>
    </row>
    <row r="1281" spans="1:14" x14ac:dyDescent="0.25">
      <c r="A1281" s="3">
        <v>45365</v>
      </c>
      <c r="B1281" s="4">
        <v>2024</v>
      </c>
      <c r="C1281" s="5">
        <v>1630</v>
      </c>
      <c r="D1281" s="5">
        <v>1645</v>
      </c>
      <c r="E1281" s="5">
        <v>1610</v>
      </c>
      <c r="F1281" s="5">
        <v>1645</v>
      </c>
      <c r="G1281" s="5">
        <v>1445.72</v>
      </c>
      <c r="H1281" s="6">
        <v>69006400</v>
      </c>
      <c r="I1281" s="22" t="str">
        <f t="shared" si="125"/>
        <v>+</v>
      </c>
      <c r="J1281" s="7">
        <f t="shared" si="126"/>
        <v>1.5432098765432098</v>
      </c>
      <c r="K1281" s="7">
        <f t="shared" si="127"/>
        <v>-40.670634773928796</v>
      </c>
      <c r="L1281" s="2" t="str">
        <f t="shared" si="122"/>
        <v>Normal</v>
      </c>
      <c r="M1281" s="2" t="str">
        <f t="shared" si="123"/>
        <v>Normal</v>
      </c>
      <c r="N1281" s="2" t="str">
        <f t="shared" si="124"/>
        <v>No</v>
      </c>
    </row>
    <row r="1282" spans="1:14" x14ac:dyDescent="0.25">
      <c r="A1282" s="3">
        <v>45366</v>
      </c>
      <c r="B1282" s="4">
        <v>2024</v>
      </c>
      <c r="C1282" s="5">
        <v>1645</v>
      </c>
      <c r="D1282" s="5">
        <v>1645</v>
      </c>
      <c r="E1282" s="5">
        <v>1610</v>
      </c>
      <c r="F1282" s="5">
        <v>1615</v>
      </c>
      <c r="G1282" s="5">
        <v>1419.35</v>
      </c>
      <c r="H1282" s="6">
        <v>51840100</v>
      </c>
      <c r="I1282" s="22" t="str">
        <f t="shared" si="125"/>
        <v>-</v>
      </c>
      <c r="J1282" s="7">
        <f t="shared" si="126"/>
        <v>-1.8237082066869299</v>
      </c>
      <c r="K1282" s="7">
        <f t="shared" si="127"/>
        <v>-24.876388277029378</v>
      </c>
      <c r="L1282" s="2" t="str">
        <f t="shared" si="122"/>
        <v>Normal</v>
      </c>
      <c r="M1282" s="2" t="str">
        <f t="shared" si="123"/>
        <v>Normal</v>
      </c>
      <c r="N1282" s="2" t="str">
        <f t="shared" si="124"/>
        <v>No</v>
      </c>
    </row>
    <row r="1283" spans="1:14" x14ac:dyDescent="0.25">
      <c r="A1283" s="3">
        <v>45369</v>
      </c>
      <c r="B1283" s="4">
        <v>2024</v>
      </c>
      <c r="C1283" s="5">
        <v>1615</v>
      </c>
      <c r="D1283" s="5">
        <v>1675</v>
      </c>
      <c r="E1283" s="5">
        <v>1605</v>
      </c>
      <c r="F1283" s="5">
        <v>1655</v>
      </c>
      <c r="G1283" s="5">
        <v>1454.51</v>
      </c>
      <c r="H1283" s="6">
        <v>66602000</v>
      </c>
      <c r="I1283" s="22" t="str">
        <f t="shared" si="125"/>
        <v>+</v>
      </c>
      <c r="J1283" s="7">
        <f t="shared" si="126"/>
        <v>2.4767801857585141</v>
      </c>
      <c r="K1283" s="7">
        <f t="shared" si="127"/>
        <v>28.475832415446728</v>
      </c>
      <c r="L1283" s="2" t="str">
        <f t="shared" ref="L1283:L1346" si="128">IFERROR(IF(OR(J1283="",ISBLANK(J1283)),"Normal",IF(J1283&lt;=$U$6,"Sharp Price Decrease",IF(J1283&gt;=$U$7,"Sharp Price Increase","Normal"))),"Normal")</f>
        <v>Normal</v>
      </c>
      <c r="M1283" s="2" t="str">
        <f t="shared" ref="M1283:M1346" si="129">IFERROR(IF(OR(K1283="",ISBLANK(K1283)),"Normal",IF(K1283&lt;=$U$8,"Sharp Volume Decrease",IF(K1283&gt;=$U$9,"Sharp Volume Increase","Normal"))),"Normal")</f>
        <v>Normal</v>
      </c>
      <c r="N1283" s="2" t="str">
        <f t="shared" ref="N1283:N1346" si="130">IFERROR(IF(AND(OR(L1283="Sharp Price Increase",L1283="Sharp Price Decrease"),OR(M1283="Sharp Volume Increase",M1283="Sharp Volume Decrease")),"Yes","No"),"No")</f>
        <v>No</v>
      </c>
    </row>
    <row r="1284" spans="1:14" x14ac:dyDescent="0.25">
      <c r="A1284" s="3">
        <v>45370</v>
      </c>
      <c r="B1284" s="4">
        <v>2024</v>
      </c>
      <c r="C1284" s="5">
        <v>1665</v>
      </c>
      <c r="D1284" s="5">
        <v>1690</v>
      </c>
      <c r="E1284" s="5">
        <v>1660</v>
      </c>
      <c r="F1284" s="5">
        <v>1660</v>
      </c>
      <c r="G1284" s="5">
        <v>1458.9</v>
      </c>
      <c r="H1284" s="6">
        <v>49266200</v>
      </c>
      <c r="I1284" s="22" t="str">
        <f t="shared" ref="I1284:I1347" si="131">IFERROR(IF(OR(F1283="",F1284=""),"",IF(F1284-F1283&lt;0,"-",IF(F1284-F1283&gt;0,"+","0"))),"")</f>
        <v>+</v>
      </c>
      <c r="J1284" s="7">
        <f t="shared" ref="J1284:J1347" si="132">(F1284-F1283)/F1283*100</f>
        <v>0.30211480362537763</v>
      </c>
      <c r="K1284" s="7">
        <f t="shared" ref="K1284:K1347" si="133">(H1284-H1283)/H1283*100</f>
        <v>-26.028948079637249</v>
      </c>
      <c r="L1284" s="2" t="str">
        <f t="shared" si="128"/>
        <v>Normal</v>
      </c>
      <c r="M1284" s="2" t="str">
        <f t="shared" si="129"/>
        <v>Normal</v>
      </c>
      <c r="N1284" s="2" t="str">
        <f t="shared" si="130"/>
        <v>No</v>
      </c>
    </row>
    <row r="1285" spans="1:14" x14ac:dyDescent="0.25">
      <c r="A1285" s="3">
        <v>45371</v>
      </c>
      <c r="B1285" s="4">
        <v>2024</v>
      </c>
      <c r="C1285" s="5">
        <v>1660</v>
      </c>
      <c r="D1285" s="5">
        <v>1670</v>
      </c>
      <c r="E1285" s="5">
        <v>1645</v>
      </c>
      <c r="F1285" s="5">
        <v>1660</v>
      </c>
      <c r="G1285" s="5">
        <v>1458.9</v>
      </c>
      <c r="H1285" s="6">
        <v>38425600</v>
      </c>
      <c r="I1285" s="22" t="str">
        <f t="shared" si="131"/>
        <v>0</v>
      </c>
      <c r="J1285" s="7">
        <f t="shared" si="132"/>
        <v>0</v>
      </c>
      <c r="K1285" s="7">
        <f t="shared" si="133"/>
        <v>-22.004132650782889</v>
      </c>
      <c r="L1285" s="2" t="str">
        <f t="shared" si="128"/>
        <v>Normal</v>
      </c>
      <c r="M1285" s="2" t="str">
        <f t="shared" si="129"/>
        <v>Normal</v>
      </c>
      <c r="N1285" s="2" t="str">
        <f t="shared" si="130"/>
        <v>No</v>
      </c>
    </row>
    <row r="1286" spans="1:14" x14ac:dyDescent="0.25">
      <c r="A1286" s="3">
        <v>45372</v>
      </c>
      <c r="B1286" s="4">
        <v>2024</v>
      </c>
      <c r="C1286" s="5">
        <v>1685</v>
      </c>
      <c r="D1286" s="5">
        <v>1720</v>
      </c>
      <c r="E1286" s="5">
        <v>1680</v>
      </c>
      <c r="F1286" s="5">
        <v>1700</v>
      </c>
      <c r="G1286" s="5">
        <v>1494.06</v>
      </c>
      <c r="H1286" s="6">
        <v>85481500</v>
      </c>
      <c r="I1286" s="22" t="str">
        <f t="shared" si="131"/>
        <v>+</v>
      </c>
      <c r="J1286" s="7">
        <f t="shared" si="132"/>
        <v>2.4096385542168677</v>
      </c>
      <c r="K1286" s="7">
        <f t="shared" si="133"/>
        <v>122.45976640572951</v>
      </c>
      <c r="L1286" s="2" t="str">
        <f t="shared" si="128"/>
        <v>Normal</v>
      </c>
      <c r="M1286" s="2" t="str">
        <f t="shared" si="129"/>
        <v>Normal</v>
      </c>
      <c r="N1286" s="2" t="str">
        <f t="shared" si="130"/>
        <v>No</v>
      </c>
    </row>
    <row r="1287" spans="1:14" x14ac:dyDescent="0.25">
      <c r="A1287" s="3">
        <v>45373</v>
      </c>
      <c r="B1287" s="4">
        <v>2024</v>
      </c>
      <c r="C1287" s="5">
        <v>1700</v>
      </c>
      <c r="D1287" s="5">
        <v>1700</v>
      </c>
      <c r="E1287" s="5">
        <v>1660</v>
      </c>
      <c r="F1287" s="5">
        <v>1670</v>
      </c>
      <c r="G1287" s="5">
        <v>1467.69</v>
      </c>
      <c r="H1287" s="6">
        <v>42163600</v>
      </c>
      <c r="I1287" s="22" t="str">
        <f t="shared" si="131"/>
        <v>-</v>
      </c>
      <c r="J1287" s="7">
        <f t="shared" si="132"/>
        <v>-1.7647058823529411</v>
      </c>
      <c r="K1287" s="7">
        <f t="shared" si="133"/>
        <v>-50.675175330334632</v>
      </c>
      <c r="L1287" s="2" t="str">
        <f t="shared" si="128"/>
        <v>Normal</v>
      </c>
      <c r="M1287" s="2" t="str">
        <f t="shared" si="129"/>
        <v>Normal</v>
      </c>
      <c r="N1287" s="2" t="str">
        <f t="shared" si="130"/>
        <v>No</v>
      </c>
    </row>
    <row r="1288" spans="1:14" x14ac:dyDescent="0.25">
      <c r="A1288" s="3">
        <v>45376</v>
      </c>
      <c r="B1288" s="4">
        <v>2024</v>
      </c>
      <c r="C1288" s="5">
        <v>1685</v>
      </c>
      <c r="D1288" s="5">
        <v>1685</v>
      </c>
      <c r="E1288" s="5">
        <v>1650</v>
      </c>
      <c r="F1288" s="5">
        <v>1660</v>
      </c>
      <c r="G1288" s="5">
        <v>1458.9</v>
      </c>
      <c r="H1288" s="6">
        <v>51279200</v>
      </c>
      <c r="I1288" s="22" t="str">
        <f t="shared" si="131"/>
        <v>-</v>
      </c>
      <c r="J1288" s="7">
        <f t="shared" si="132"/>
        <v>-0.5988023952095809</v>
      </c>
      <c r="K1288" s="7">
        <f t="shared" si="133"/>
        <v>21.619596049673177</v>
      </c>
      <c r="L1288" s="2" t="str">
        <f t="shared" si="128"/>
        <v>Normal</v>
      </c>
      <c r="M1288" s="2" t="str">
        <f t="shared" si="129"/>
        <v>Normal</v>
      </c>
      <c r="N1288" s="2" t="str">
        <f t="shared" si="130"/>
        <v>No</v>
      </c>
    </row>
    <row r="1289" spans="1:14" x14ac:dyDescent="0.25">
      <c r="A1289" s="3">
        <v>45377</v>
      </c>
      <c r="B1289" s="4">
        <v>2024</v>
      </c>
      <c r="C1289" s="5">
        <v>1675</v>
      </c>
      <c r="D1289" s="5">
        <v>1675</v>
      </c>
      <c r="E1289" s="5">
        <v>1650</v>
      </c>
      <c r="F1289" s="5">
        <v>1665</v>
      </c>
      <c r="G1289" s="5">
        <v>1463.3</v>
      </c>
      <c r="H1289" s="6">
        <v>35072600</v>
      </c>
      <c r="I1289" s="22" t="str">
        <f t="shared" si="131"/>
        <v>+</v>
      </c>
      <c r="J1289" s="7">
        <f t="shared" si="132"/>
        <v>0.30120481927710846</v>
      </c>
      <c r="K1289" s="7">
        <f t="shared" si="133"/>
        <v>-31.604627217273279</v>
      </c>
      <c r="L1289" s="2" t="str">
        <f t="shared" si="128"/>
        <v>Normal</v>
      </c>
      <c r="M1289" s="2" t="str">
        <f t="shared" si="129"/>
        <v>Normal</v>
      </c>
      <c r="N1289" s="2" t="str">
        <f t="shared" si="130"/>
        <v>No</v>
      </c>
    </row>
    <row r="1290" spans="1:14" x14ac:dyDescent="0.25">
      <c r="A1290" s="3">
        <v>45378</v>
      </c>
      <c r="B1290" s="4">
        <v>2024</v>
      </c>
      <c r="C1290" s="5">
        <v>1665</v>
      </c>
      <c r="D1290" s="5">
        <v>1675</v>
      </c>
      <c r="E1290" s="5">
        <v>1625</v>
      </c>
      <c r="F1290" s="5">
        <v>1635</v>
      </c>
      <c r="G1290" s="5">
        <v>1436.93</v>
      </c>
      <c r="H1290" s="6">
        <v>34509200</v>
      </c>
      <c r="I1290" s="22" t="str">
        <f t="shared" si="131"/>
        <v>-</v>
      </c>
      <c r="J1290" s="7">
        <f t="shared" si="132"/>
        <v>-1.8018018018018018</v>
      </c>
      <c r="K1290" s="7">
        <f t="shared" si="133"/>
        <v>-1.6063821900857078</v>
      </c>
      <c r="L1290" s="2" t="str">
        <f t="shared" si="128"/>
        <v>Normal</v>
      </c>
      <c r="M1290" s="2" t="str">
        <f t="shared" si="129"/>
        <v>Normal</v>
      </c>
      <c r="N1290" s="2" t="str">
        <f t="shared" si="130"/>
        <v>No</v>
      </c>
    </row>
    <row r="1291" spans="1:14" x14ac:dyDescent="0.25">
      <c r="A1291" s="3">
        <v>45379</v>
      </c>
      <c r="B1291" s="4">
        <v>2024</v>
      </c>
      <c r="C1291" s="5">
        <v>1640</v>
      </c>
      <c r="D1291" s="5">
        <v>1655</v>
      </c>
      <c r="E1291" s="5">
        <v>1580</v>
      </c>
      <c r="F1291" s="5">
        <v>1600</v>
      </c>
      <c r="G1291" s="5">
        <v>1406.17</v>
      </c>
      <c r="H1291" s="6">
        <v>62687900</v>
      </c>
      <c r="I1291" s="22" t="str">
        <f t="shared" si="131"/>
        <v>-</v>
      </c>
      <c r="J1291" s="7">
        <f t="shared" si="132"/>
        <v>-2.1406727828746175</v>
      </c>
      <c r="K1291" s="7">
        <f t="shared" si="133"/>
        <v>81.655616473288291</v>
      </c>
      <c r="L1291" s="2" t="str">
        <f t="shared" si="128"/>
        <v>Normal</v>
      </c>
      <c r="M1291" s="2" t="str">
        <f t="shared" si="129"/>
        <v>Normal</v>
      </c>
      <c r="N1291" s="2" t="str">
        <f t="shared" si="130"/>
        <v>No</v>
      </c>
    </row>
    <row r="1292" spans="1:14" x14ac:dyDescent="0.25">
      <c r="A1292" s="3">
        <v>45383</v>
      </c>
      <c r="B1292" s="4">
        <v>2024</v>
      </c>
      <c r="C1292" s="5">
        <v>1615</v>
      </c>
      <c r="D1292" s="5">
        <v>1635</v>
      </c>
      <c r="E1292" s="5">
        <v>1545</v>
      </c>
      <c r="F1292" s="5">
        <v>1580</v>
      </c>
      <c r="G1292" s="5">
        <v>1388.59</v>
      </c>
      <c r="H1292" s="6">
        <v>61273100</v>
      </c>
      <c r="I1292" s="22" t="str">
        <f t="shared" si="131"/>
        <v>-</v>
      </c>
      <c r="J1292" s="7">
        <f t="shared" si="132"/>
        <v>-1.25</v>
      </c>
      <c r="K1292" s="7">
        <f t="shared" si="133"/>
        <v>-2.2568948712590466</v>
      </c>
      <c r="L1292" s="2" t="str">
        <f t="shared" si="128"/>
        <v>Normal</v>
      </c>
      <c r="M1292" s="2" t="str">
        <f t="shared" si="129"/>
        <v>Normal</v>
      </c>
      <c r="N1292" s="2" t="str">
        <f t="shared" si="130"/>
        <v>No</v>
      </c>
    </row>
    <row r="1293" spans="1:14" x14ac:dyDescent="0.25">
      <c r="A1293" s="3">
        <v>45384</v>
      </c>
      <c r="B1293" s="4">
        <v>2024</v>
      </c>
      <c r="C1293" s="5">
        <v>1580</v>
      </c>
      <c r="D1293" s="5">
        <v>1640</v>
      </c>
      <c r="E1293" s="5">
        <v>1575</v>
      </c>
      <c r="F1293" s="5">
        <v>1640</v>
      </c>
      <c r="G1293" s="5">
        <v>1441.33</v>
      </c>
      <c r="H1293" s="6">
        <v>46410200</v>
      </c>
      <c r="I1293" s="22" t="str">
        <f t="shared" si="131"/>
        <v>+</v>
      </c>
      <c r="J1293" s="7">
        <f t="shared" si="132"/>
        <v>3.79746835443038</v>
      </c>
      <c r="K1293" s="7">
        <f t="shared" si="133"/>
        <v>-24.256810900705204</v>
      </c>
      <c r="L1293" s="2" t="str">
        <f t="shared" si="128"/>
        <v>Normal</v>
      </c>
      <c r="M1293" s="2" t="str">
        <f t="shared" si="129"/>
        <v>Normal</v>
      </c>
      <c r="N1293" s="2" t="str">
        <f t="shared" si="130"/>
        <v>No</v>
      </c>
    </row>
    <row r="1294" spans="1:14" x14ac:dyDescent="0.25">
      <c r="A1294" s="3">
        <v>45385</v>
      </c>
      <c r="B1294" s="4">
        <v>2024</v>
      </c>
      <c r="C1294" s="5">
        <v>1650</v>
      </c>
      <c r="D1294" s="5">
        <v>1660</v>
      </c>
      <c r="E1294" s="5">
        <v>1630</v>
      </c>
      <c r="F1294" s="5">
        <v>1645</v>
      </c>
      <c r="G1294" s="5">
        <v>1445.72</v>
      </c>
      <c r="H1294" s="6">
        <v>55402400</v>
      </c>
      <c r="I1294" s="22" t="str">
        <f t="shared" si="131"/>
        <v>+</v>
      </c>
      <c r="J1294" s="7">
        <f t="shared" si="132"/>
        <v>0.3048780487804878</v>
      </c>
      <c r="K1294" s="7">
        <f t="shared" si="133"/>
        <v>19.375482113845663</v>
      </c>
      <c r="L1294" s="2" t="str">
        <f t="shared" si="128"/>
        <v>Normal</v>
      </c>
      <c r="M1294" s="2" t="str">
        <f t="shared" si="129"/>
        <v>Normal</v>
      </c>
      <c r="N1294" s="2" t="str">
        <f t="shared" si="130"/>
        <v>No</v>
      </c>
    </row>
    <row r="1295" spans="1:14" x14ac:dyDescent="0.25">
      <c r="A1295" s="3">
        <v>45386</v>
      </c>
      <c r="B1295" s="4">
        <v>2024</v>
      </c>
      <c r="C1295" s="5">
        <v>1660</v>
      </c>
      <c r="D1295" s="5">
        <v>1675</v>
      </c>
      <c r="E1295" s="5">
        <v>1650</v>
      </c>
      <c r="F1295" s="5">
        <v>1660</v>
      </c>
      <c r="G1295" s="5">
        <v>1458.9</v>
      </c>
      <c r="H1295" s="6">
        <v>47280700</v>
      </c>
      <c r="I1295" s="22" t="str">
        <f t="shared" si="131"/>
        <v>+</v>
      </c>
      <c r="J1295" s="7">
        <f t="shared" si="132"/>
        <v>0.91185410334346495</v>
      </c>
      <c r="K1295" s="7">
        <f t="shared" si="133"/>
        <v>-14.659473235816501</v>
      </c>
      <c r="L1295" s="2" t="str">
        <f t="shared" si="128"/>
        <v>Normal</v>
      </c>
      <c r="M1295" s="2" t="str">
        <f t="shared" si="129"/>
        <v>Normal</v>
      </c>
      <c r="N1295" s="2" t="str">
        <f t="shared" si="130"/>
        <v>No</v>
      </c>
    </row>
    <row r="1296" spans="1:14" x14ac:dyDescent="0.25">
      <c r="A1296" s="3">
        <v>45387</v>
      </c>
      <c r="B1296" s="4">
        <v>2024</v>
      </c>
      <c r="C1296" s="5">
        <v>1665</v>
      </c>
      <c r="D1296" s="5">
        <v>1675</v>
      </c>
      <c r="E1296" s="5">
        <v>1645</v>
      </c>
      <c r="F1296" s="5">
        <v>1670</v>
      </c>
      <c r="G1296" s="5">
        <v>1467.69</v>
      </c>
      <c r="H1296" s="6">
        <v>35349900</v>
      </c>
      <c r="I1296" s="22" t="str">
        <f t="shared" si="131"/>
        <v>+</v>
      </c>
      <c r="J1296" s="7">
        <f t="shared" si="132"/>
        <v>0.60240963855421692</v>
      </c>
      <c r="K1296" s="7">
        <f t="shared" si="133"/>
        <v>-25.233974962299627</v>
      </c>
      <c r="L1296" s="2" t="str">
        <f t="shared" si="128"/>
        <v>Normal</v>
      </c>
      <c r="M1296" s="2" t="str">
        <f t="shared" si="129"/>
        <v>Normal</v>
      </c>
      <c r="N1296" s="2" t="str">
        <f t="shared" si="130"/>
        <v>No</v>
      </c>
    </row>
    <row r="1297" spans="1:14" x14ac:dyDescent="0.25">
      <c r="A1297" s="3">
        <v>45398</v>
      </c>
      <c r="B1297" s="4">
        <v>2024</v>
      </c>
      <c r="C1297" s="5">
        <v>1685</v>
      </c>
      <c r="D1297" s="5">
        <v>1810</v>
      </c>
      <c r="E1297" s="5">
        <v>1680</v>
      </c>
      <c r="F1297" s="5">
        <v>1810</v>
      </c>
      <c r="G1297" s="5">
        <v>1590.73</v>
      </c>
      <c r="H1297" s="6">
        <v>201068200</v>
      </c>
      <c r="I1297" s="22" t="str">
        <f t="shared" si="131"/>
        <v>+</v>
      </c>
      <c r="J1297" s="7">
        <f t="shared" si="132"/>
        <v>8.3832335329341312</v>
      </c>
      <c r="K1297" s="7">
        <f t="shared" si="133"/>
        <v>468.79425401486287</v>
      </c>
      <c r="L1297" s="2" t="str">
        <f t="shared" si="128"/>
        <v>Sharp Price Increase</v>
      </c>
      <c r="M1297" s="2" t="str">
        <f t="shared" si="129"/>
        <v>Sharp Volume Increase</v>
      </c>
      <c r="N1297" s="2" t="str">
        <f t="shared" si="130"/>
        <v>Yes</v>
      </c>
    </row>
    <row r="1298" spans="1:14" x14ac:dyDescent="0.25">
      <c r="A1298" s="3">
        <v>45399</v>
      </c>
      <c r="B1298" s="4">
        <v>2024</v>
      </c>
      <c r="C1298" s="5">
        <v>1815</v>
      </c>
      <c r="D1298" s="5">
        <v>1845</v>
      </c>
      <c r="E1298" s="5">
        <v>1775</v>
      </c>
      <c r="F1298" s="5">
        <v>1795</v>
      </c>
      <c r="G1298" s="5">
        <v>1577.55</v>
      </c>
      <c r="H1298" s="6">
        <v>97314200</v>
      </c>
      <c r="I1298" s="22" t="str">
        <f t="shared" si="131"/>
        <v>-</v>
      </c>
      <c r="J1298" s="7">
        <f t="shared" si="132"/>
        <v>-0.82872928176795579</v>
      </c>
      <c r="K1298" s="7">
        <f t="shared" si="133"/>
        <v>-51.601396938949073</v>
      </c>
      <c r="L1298" s="2" t="str">
        <f t="shared" si="128"/>
        <v>Normal</v>
      </c>
      <c r="M1298" s="2" t="str">
        <f t="shared" si="129"/>
        <v>Normal</v>
      </c>
      <c r="N1298" s="2" t="str">
        <f t="shared" si="130"/>
        <v>No</v>
      </c>
    </row>
    <row r="1299" spans="1:14" x14ac:dyDescent="0.25">
      <c r="A1299" s="3">
        <v>45400</v>
      </c>
      <c r="B1299" s="4">
        <v>2024</v>
      </c>
      <c r="C1299" s="5">
        <v>1800</v>
      </c>
      <c r="D1299" s="5">
        <v>1815</v>
      </c>
      <c r="E1299" s="5">
        <v>1710</v>
      </c>
      <c r="F1299" s="5">
        <v>1725</v>
      </c>
      <c r="G1299" s="5">
        <v>1516.03</v>
      </c>
      <c r="H1299" s="6">
        <v>105257300</v>
      </c>
      <c r="I1299" s="22" t="str">
        <f t="shared" si="131"/>
        <v>-</v>
      </c>
      <c r="J1299" s="7">
        <f t="shared" si="132"/>
        <v>-3.8997214484679668</v>
      </c>
      <c r="K1299" s="7">
        <f t="shared" si="133"/>
        <v>8.1623236896568034</v>
      </c>
      <c r="L1299" s="2" t="str">
        <f t="shared" si="128"/>
        <v>Normal</v>
      </c>
      <c r="M1299" s="2" t="str">
        <f t="shared" si="129"/>
        <v>Normal</v>
      </c>
      <c r="N1299" s="2" t="str">
        <f t="shared" si="130"/>
        <v>No</v>
      </c>
    </row>
    <row r="1300" spans="1:14" x14ac:dyDescent="0.25">
      <c r="A1300" s="3">
        <v>45401</v>
      </c>
      <c r="B1300" s="4">
        <v>2024</v>
      </c>
      <c r="C1300" s="5">
        <v>1765</v>
      </c>
      <c r="D1300" s="5">
        <v>1770</v>
      </c>
      <c r="E1300" s="5">
        <v>1725</v>
      </c>
      <c r="F1300" s="5">
        <v>1760</v>
      </c>
      <c r="G1300" s="5">
        <v>1546.79</v>
      </c>
      <c r="H1300" s="6">
        <v>86892700</v>
      </c>
      <c r="I1300" s="22" t="str">
        <f t="shared" si="131"/>
        <v>+</v>
      </c>
      <c r="J1300" s="7">
        <f t="shared" si="132"/>
        <v>2.0289855072463765</v>
      </c>
      <c r="K1300" s="7">
        <f t="shared" si="133"/>
        <v>-17.447340944523564</v>
      </c>
      <c r="L1300" s="2" t="str">
        <f t="shared" si="128"/>
        <v>Normal</v>
      </c>
      <c r="M1300" s="2" t="str">
        <f t="shared" si="129"/>
        <v>Normal</v>
      </c>
      <c r="N1300" s="2" t="str">
        <f t="shared" si="130"/>
        <v>No</v>
      </c>
    </row>
    <row r="1301" spans="1:14" x14ac:dyDescent="0.25">
      <c r="A1301" s="3">
        <v>45404</v>
      </c>
      <c r="B1301" s="4">
        <v>2024</v>
      </c>
      <c r="C1301" s="5">
        <v>1780</v>
      </c>
      <c r="D1301" s="5">
        <v>1800</v>
      </c>
      <c r="E1301" s="5">
        <v>1760</v>
      </c>
      <c r="F1301" s="5">
        <v>1770</v>
      </c>
      <c r="G1301" s="5">
        <v>1555.58</v>
      </c>
      <c r="H1301" s="6">
        <v>70463000</v>
      </c>
      <c r="I1301" s="22" t="str">
        <f t="shared" si="131"/>
        <v>+</v>
      </c>
      <c r="J1301" s="7">
        <f t="shared" si="132"/>
        <v>0.56818181818181823</v>
      </c>
      <c r="K1301" s="7">
        <f t="shared" si="133"/>
        <v>-18.908032550490432</v>
      </c>
      <c r="L1301" s="2" t="str">
        <f t="shared" si="128"/>
        <v>Normal</v>
      </c>
      <c r="M1301" s="2" t="str">
        <f t="shared" si="129"/>
        <v>Normal</v>
      </c>
      <c r="N1301" s="2" t="str">
        <f t="shared" si="130"/>
        <v>No</v>
      </c>
    </row>
    <row r="1302" spans="1:14" x14ac:dyDescent="0.25">
      <c r="A1302" s="3">
        <v>45405</v>
      </c>
      <c r="B1302" s="4">
        <v>2024</v>
      </c>
      <c r="C1302" s="5">
        <v>1770</v>
      </c>
      <c r="D1302" s="5">
        <v>1775</v>
      </c>
      <c r="E1302" s="5">
        <v>1730</v>
      </c>
      <c r="F1302" s="5">
        <v>1740</v>
      </c>
      <c r="G1302" s="5">
        <v>1529.21</v>
      </c>
      <c r="H1302" s="6">
        <v>53092100</v>
      </c>
      <c r="I1302" s="22" t="str">
        <f t="shared" si="131"/>
        <v>-</v>
      </c>
      <c r="J1302" s="7">
        <f t="shared" si="132"/>
        <v>-1.6949152542372881</v>
      </c>
      <c r="K1302" s="7">
        <f t="shared" si="133"/>
        <v>-24.652512666221991</v>
      </c>
      <c r="L1302" s="2" t="str">
        <f t="shared" si="128"/>
        <v>Normal</v>
      </c>
      <c r="M1302" s="2" t="str">
        <f t="shared" si="129"/>
        <v>Normal</v>
      </c>
      <c r="N1302" s="2" t="str">
        <f t="shared" si="130"/>
        <v>No</v>
      </c>
    </row>
    <row r="1303" spans="1:14" x14ac:dyDescent="0.25">
      <c r="A1303" s="3">
        <v>45406</v>
      </c>
      <c r="B1303" s="4">
        <v>2024</v>
      </c>
      <c r="C1303" s="5">
        <v>1745</v>
      </c>
      <c r="D1303" s="5">
        <v>1750</v>
      </c>
      <c r="E1303" s="5">
        <v>1680</v>
      </c>
      <c r="F1303" s="5">
        <v>1680</v>
      </c>
      <c r="G1303" s="5">
        <v>1476.48</v>
      </c>
      <c r="H1303" s="6">
        <v>42661100</v>
      </c>
      <c r="I1303" s="22" t="str">
        <f t="shared" si="131"/>
        <v>-</v>
      </c>
      <c r="J1303" s="7">
        <f t="shared" si="132"/>
        <v>-3.4482758620689653</v>
      </c>
      <c r="K1303" s="7">
        <f t="shared" si="133"/>
        <v>-19.646990795240722</v>
      </c>
      <c r="L1303" s="2" t="str">
        <f t="shared" si="128"/>
        <v>Normal</v>
      </c>
      <c r="M1303" s="2" t="str">
        <f t="shared" si="129"/>
        <v>Normal</v>
      </c>
      <c r="N1303" s="2" t="str">
        <f t="shared" si="130"/>
        <v>No</v>
      </c>
    </row>
    <row r="1304" spans="1:14" x14ac:dyDescent="0.25">
      <c r="A1304" s="3">
        <v>45407</v>
      </c>
      <c r="B1304" s="4">
        <v>2024</v>
      </c>
      <c r="C1304" s="5">
        <v>1680</v>
      </c>
      <c r="D1304" s="5">
        <v>1695</v>
      </c>
      <c r="E1304" s="5">
        <v>1585</v>
      </c>
      <c r="F1304" s="5">
        <v>1590</v>
      </c>
      <c r="G1304" s="5">
        <v>1397.38</v>
      </c>
      <c r="H1304" s="6">
        <v>77798400</v>
      </c>
      <c r="I1304" s="22" t="str">
        <f t="shared" si="131"/>
        <v>-</v>
      </c>
      <c r="J1304" s="7">
        <f t="shared" si="132"/>
        <v>-5.3571428571428568</v>
      </c>
      <c r="K1304" s="7">
        <f t="shared" si="133"/>
        <v>82.363792776088758</v>
      </c>
      <c r="L1304" s="2" t="str">
        <f t="shared" si="128"/>
        <v>Sharp Price Decrease</v>
      </c>
      <c r="M1304" s="2" t="str">
        <f t="shared" si="129"/>
        <v>Normal</v>
      </c>
      <c r="N1304" s="2" t="str">
        <f t="shared" si="130"/>
        <v>No</v>
      </c>
    </row>
    <row r="1305" spans="1:14" x14ac:dyDescent="0.25">
      <c r="A1305" s="3">
        <v>45408</v>
      </c>
      <c r="B1305" s="4">
        <v>2024</v>
      </c>
      <c r="C1305" s="5">
        <v>1600</v>
      </c>
      <c r="D1305" s="5">
        <v>1615</v>
      </c>
      <c r="E1305" s="5">
        <v>1575</v>
      </c>
      <c r="F1305" s="5">
        <v>1595</v>
      </c>
      <c r="G1305" s="5">
        <v>1401.78</v>
      </c>
      <c r="H1305" s="6">
        <v>45105100</v>
      </c>
      <c r="I1305" s="22" t="str">
        <f t="shared" si="131"/>
        <v>+</v>
      </c>
      <c r="J1305" s="7">
        <f t="shared" si="132"/>
        <v>0.31446540880503149</v>
      </c>
      <c r="K1305" s="7">
        <f t="shared" si="133"/>
        <v>-42.023100732148734</v>
      </c>
      <c r="L1305" s="2" t="str">
        <f t="shared" si="128"/>
        <v>Normal</v>
      </c>
      <c r="M1305" s="2" t="str">
        <f t="shared" si="129"/>
        <v>Normal</v>
      </c>
      <c r="N1305" s="2" t="str">
        <f t="shared" si="130"/>
        <v>No</v>
      </c>
    </row>
    <row r="1306" spans="1:14" x14ac:dyDescent="0.25">
      <c r="A1306" s="3">
        <v>45411</v>
      </c>
      <c r="B1306" s="4">
        <v>2024</v>
      </c>
      <c r="C1306" s="5">
        <v>1600</v>
      </c>
      <c r="D1306" s="5">
        <v>1620</v>
      </c>
      <c r="E1306" s="5">
        <v>1570</v>
      </c>
      <c r="F1306" s="5">
        <v>1615</v>
      </c>
      <c r="G1306" s="5">
        <v>1419.35</v>
      </c>
      <c r="H1306" s="6">
        <v>44759600</v>
      </c>
      <c r="I1306" s="22" t="str">
        <f t="shared" si="131"/>
        <v>+</v>
      </c>
      <c r="J1306" s="7">
        <f t="shared" si="132"/>
        <v>1.2539184952978055</v>
      </c>
      <c r="K1306" s="7">
        <f t="shared" si="133"/>
        <v>-0.76598876845412156</v>
      </c>
      <c r="L1306" s="2" t="str">
        <f t="shared" si="128"/>
        <v>Normal</v>
      </c>
      <c r="M1306" s="2" t="str">
        <f t="shared" si="129"/>
        <v>Normal</v>
      </c>
      <c r="N1306" s="2" t="str">
        <f t="shared" si="130"/>
        <v>No</v>
      </c>
    </row>
    <row r="1307" spans="1:14" x14ac:dyDescent="0.25">
      <c r="A1307" s="3">
        <v>45412</v>
      </c>
      <c r="B1307" s="4">
        <v>2024</v>
      </c>
      <c r="C1307" s="5">
        <v>1625</v>
      </c>
      <c r="D1307" s="5">
        <v>1640</v>
      </c>
      <c r="E1307" s="5">
        <v>1600</v>
      </c>
      <c r="F1307" s="5">
        <v>1640</v>
      </c>
      <c r="G1307" s="5">
        <v>1441.33</v>
      </c>
      <c r="H1307" s="6">
        <v>42746700</v>
      </c>
      <c r="I1307" s="22" t="str">
        <f t="shared" si="131"/>
        <v>+</v>
      </c>
      <c r="J1307" s="7">
        <f t="shared" si="132"/>
        <v>1.5479876160990713</v>
      </c>
      <c r="K1307" s="7">
        <f t="shared" si="133"/>
        <v>-4.4971358099714918</v>
      </c>
      <c r="L1307" s="2" t="str">
        <f t="shared" si="128"/>
        <v>Normal</v>
      </c>
      <c r="M1307" s="2" t="str">
        <f t="shared" si="129"/>
        <v>Normal</v>
      </c>
      <c r="N1307" s="2" t="str">
        <f t="shared" si="130"/>
        <v>No</v>
      </c>
    </row>
    <row r="1308" spans="1:14" x14ac:dyDescent="0.25">
      <c r="A1308" s="3">
        <v>45414</v>
      </c>
      <c r="B1308" s="4">
        <v>2024</v>
      </c>
      <c r="C1308" s="5">
        <v>1605</v>
      </c>
      <c r="D1308" s="5">
        <v>1610</v>
      </c>
      <c r="E1308" s="5">
        <v>1510</v>
      </c>
      <c r="F1308" s="5">
        <v>1510</v>
      </c>
      <c r="G1308" s="5">
        <v>1327.07</v>
      </c>
      <c r="H1308" s="6">
        <v>100915200</v>
      </c>
      <c r="I1308" s="22" t="str">
        <f t="shared" si="131"/>
        <v>-</v>
      </c>
      <c r="J1308" s="7">
        <f t="shared" si="132"/>
        <v>-7.9268292682926829</v>
      </c>
      <c r="K1308" s="7">
        <f t="shared" si="133"/>
        <v>136.07717086933027</v>
      </c>
      <c r="L1308" s="2" t="str">
        <f t="shared" si="128"/>
        <v>Sharp Price Decrease</v>
      </c>
      <c r="M1308" s="2" t="str">
        <f t="shared" si="129"/>
        <v>Normal</v>
      </c>
      <c r="N1308" s="2" t="str">
        <f t="shared" si="130"/>
        <v>No</v>
      </c>
    </row>
    <row r="1309" spans="1:14" x14ac:dyDescent="0.25">
      <c r="A1309" s="3">
        <v>45415</v>
      </c>
      <c r="B1309" s="4">
        <v>2024</v>
      </c>
      <c r="C1309" s="5">
        <v>1515</v>
      </c>
      <c r="D1309" s="5">
        <v>1535</v>
      </c>
      <c r="E1309" s="5">
        <v>1475</v>
      </c>
      <c r="F1309" s="5">
        <v>1490</v>
      </c>
      <c r="G1309" s="5">
        <v>1309.5</v>
      </c>
      <c r="H1309" s="6">
        <v>70316700</v>
      </c>
      <c r="I1309" s="22" t="str">
        <f t="shared" si="131"/>
        <v>-</v>
      </c>
      <c r="J1309" s="7">
        <f t="shared" si="132"/>
        <v>-1.3245033112582782</v>
      </c>
      <c r="K1309" s="7">
        <f t="shared" si="133"/>
        <v>-30.321002187975648</v>
      </c>
      <c r="L1309" s="2" t="str">
        <f t="shared" si="128"/>
        <v>Normal</v>
      </c>
      <c r="M1309" s="2" t="str">
        <f t="shared" si="129"/>
        <v>Normal</v>
      </c>
      <c r="N1309" s="2" t="str">
        <f t="shared" si="130"/>
        <v>No</v>
      </c>
    </row>
    <row r="1310" spans="1:14" x14ac:dyDescent="0.25">
      <c r="A1310" s="3">
        <v>45418</v>
      </c>
      <c r="B1310" s="4">
        <v>2024</v>
      </c>
      <c r="C1310" s="5">
        <v>1505</v>
      </c>
      <c r="D1310" s="5">
        <v>1530</v>
      </c>
      <c r="E1310" s="5">
        <v>1490</v>
      </c>
      <c r="F1310" s="5">
        <v>1515</v>
      </c>
      <c r="G1310" s="5">
        <v>1331.47</v>
      </c>
      <c r="H1310" s="6">
        <v>41690800</v>
      </c>
      <c r="I1310" s="22" t="str">
        <f t="shared" si="131"/>
        <v>+</v>
      </c>
      <c r="J1310" s="7">
        <f t="shared" si="132"/>
        <v>1.6778523489932886</v>
      </c>
      <c r="K1310" s="7">
        <f t="shared" si="133"/>
        <v>-40.709959369538105</v>
      </c>
      <c r="L1310" s="2" t="str">
        <f t="shared" si="128"/>
        <v>Normal</v>
      </c>
      <c r="M1310" s="2" t="str">
        <f t="shared" si="129"/>
        <v>Normal</v>
      </c>
      <c r="N1310" s="2" t="str">
        <f t="shared" si="130"/>
        <v>No</v>
      </c>
    </row>
    <row r="1311" spans="1:14" x14ac:dyDescent="0.25">
      <c r="A1311" s="3">
        <v>45419</v>
      </c>
      <c r="B1311" s="4">
        <v>2024</v>
      </c>
      <c r="C1311" s="5">
        <v>1530</v>
      </c>
      <c r="D1311" s="5">
        <v>1540</v>
      </c>
      <c r="E1311" s="5">
        <v>1500</v>
      </c>
      <c r="F1311" s="5">
        <v>1505</v>
      </c>
      <c r="G1311" s="5">
        <v>1322.68</v>
      </c>
      <c r="H1311" s="6">
        <v>40340300</v>
      </c>
      <c r="I1311" s="22" t="str">
        <f t="shared" si="131"/>
        <v>-</v>
      </c>
      <c r="J1311" s="7">
        <f t="shared" si="132"/>
        <v>-0.66006600660066006</v>
      </c>
      <c r="K1311" s="7">
        <f t="shared" si="133"/>
        <v>-3.2393237836645015</v>
      </c>
      <c r="L1311" s="2" t="str">
        <f t="shared" si="128"/>
        <v>Normal</v>
      </c>
      <c r="M1311" s="2" t="str">
        <f t="shared" si="129"/>
        <v>Normal</v>
      </c>
      <c r="N1311" s="2" t="str">
        <f t="shared" si="130"/>
        <v>No</v>
      </c>
    </row>
    <row r="1312" spans="1:14" x14ac:dyDescent="0.25">
      <c r="A1312" s="3">
        <v>45420</v>
      </c>
      <c r="B1312" s="4">
        <v>2024</v>
      </c>
      <c r="C1312" s="5">
        <v>1505</v>
      </c>
      <c r="D1312" s="5">
        <v>1575</v>
      </c>
      <c r="E1312" s="5">
        <v>1480</v>
      </c>
      <c r="F1312" s="5">
        <v>1535</v>
      </c>
      <c r="G1312" s="5">
        <v>1349.05</v>
      </c>
      <c r="H1312" s="6">
        <v>109109000</v>
      </c>
      <c r="I1312" s="22" t="str">
        <f t="shared" si="131"/>
        <v>+</v>
      </c>
      <c r="J1312" s="7">
        <f t="shared" si="132"/>
        <v>1.9933554817275747</v>
      </c>
      <c r="K1312" s="7">
        <f t="shared" si="133"/>
        <v>170.47146401985111</v>
      </c>
      <c r="L1312" s="2" t="str">
        <f t="shared" si="128"/>
        <v>Normal</v>
      </c>
      <c r="M1312" s="2" t="str">
        <f t="shared" si="129"/>
        <v>Sharp Volume Increase</v>
      </c>
      <c r="N1312" s="2" t="str">
        <f t="shared" si="130"/>
        <v>No</v>
      </c>
    </row>
    <row r="1313" spans="1:14" x14ac:dyDescent="0.25">
      <c r="A1313" s="3">
        <v>45425</v>
      </c>
      <c r="B1313" s="4">
        <v>2024</v>
      </c>
      <c r="C1313" s="5">
        <v>1540</v>
      </c>
      <c r="D1313" s="5">
        <v>1550</v>
      </c>
      <c r="E1313" s="5">
        <v>1515</v>
      </c>
      <c r="F1313" s="5">
        <v>1525</v>
      </c>
      <c r="G1313" s="5">
        <v>1340.26</v>
      </c>
      <c r="H1313" s="6">
        <v>36491800</v>
      </c>
      <c r="I1313" s="22" t="str">
        <f t="shared" si="131"/>
        <v>-</v>
      </c>
      <c r="J1313" s="7">
        <f t="shared" si="132"/>
        <v>-0.65146579804560267</v>
      </c>
      <c r="K1313" s="7">
        <f t="shared" si="133"/>
        <v>-66.554729673995723</v>
      </c>
      <c r="L1313" s="2" t="str">
        <f t="shared" si="128"/>
        <v>Normal</v>
      </c>
      <c r="M1313" s="2" t="str">
        <f t="shared" si="129"/>
        <v>Sharp Volume Decrease</v>
      </c>
      <c r="N1313" s="2" t="str">
        <f t="shared" si="130"/>
        <v>No</v>
      </c>
    </row>
    <row r="1314" spans="1:14" x14ac:dyDescent="0.25">
      <c r="A1314" s="3">
        <v>45426</v>
      </c>
      <c r="B1314" s="4">
        <v>2024</v>
      </c>
      <c r="C1314" s="5">
        <v>1520</v>
      </c>
      <c r="D1314" s="5">
        <v>1545</v>
      </c>
      <c r="E1314" s="5">
        <v>1515</v>
      </c>
      <c r="F1314" s="5">
        <v>1525</v>
      </c>
      <c r="G1314" s="5">
        <v>1340.26</v>
      </c>
      <c r="H1314" s="6">
        <v>31675400</v>
      </c>
      <c r="I1314" s="22" t="str">
        <f t="shared" si="131"/>
        <v>0</v>
      </c>
      <c r="J1314" s="7">
        <f t="shared" si="132"/>
        <v>0</v>
      </c>
      <c r="K1314" s="7">
        <f t="shared" si="133"/>
        <v>-13.198581599153783</v>
      </c>
      <c r="L1314" s="2" t="str">
        <f t="shared" si="128"/>
        <v>Normal</v>
      </c>
      <c r="M1314" s="2" t="str">
        <f t="shared" si="129"/>
        <v>Normal</v>
      </c>
      <c r="N1314" s="2" t="str">
        <f t="shared" si="130"/>
        <v>No</v>
      </c>
    </row>
    <row r="1315" spans="1:14" x14ac:dyDescent="0.25">
      <c r="A1315" s="3">
        <v>45427</v>
      </c>
      <c r="B1315" s="4">
        <v>2024</v>
      </c>
      <c r="C1315" s="5">
        <v>1535</v>
      </c>
      <c r="D1315" s="5">
        <v>1575</v>
      </c>
      <c r="E1315" s="5">
        <v>1535</v>
      </c>
      <c r="F1315" s="5">
        <v>1565</v>
      </c>
      <c r="G1315" s="5">
        <v>1375.41</v>
      </c>
      <c r="H1315" s="6">
        <v>51245200</v>
      </c>
      <c r="I1315" s="22" t="str">
        <f t="shared" si="131"/>
        <v>+</v>
      </c>
      <c r="J1315" s="7">
        <f t="shared" si="132"/>
        <v>2.622950819672131</v>
      </c>
      <c r="K1315" s="7">
        <f t="shared" si="133"/>
        <v>61.782329504915488</v>
      </c>
      <c r="L1315" s="2" t="str">
        <f t="shared" si="128"/>
        <v>Normal</v>
      </c>
      <c r="M1315" s="2" t="str">
        <f t="shared" si="129"/>
        <v>Normal</v>
      </c>
      <c r="N1315" s="2" t="str">
        <f t="shared" si="130"/>
        <v>No</v>
      </c>
    </row>
    <row r="1316" spans="1:14" x14ac:dyDescent="0.25">
      <c r="A1316" s="3">
        <v>45428</v>
      </c>
      <c r="B1316" s="4">
        <v>2024</v>
      </c>
      <c r="C1316" s="5">
        <v>1585</v>
      </c>
      <c r="D1316" s="5">
        <v>1590</v>
      </c>
      <c r="E1316" s="5">
        <v>1560</v>
      </c>
      <c r="F1316" s="5">
        <v>1565</v>
      </c>
      <c r="G1316" s="5">
        <v>1375.41</v>
      </c>
      <c r="H1316" s="6">
        <v>52891500</v>
      </c>
      <c r="I1316" s="22" t="str">
        <f t="shared" si="131"/>
        <v>0</v>
      </c>
      <c r="J1316" s="7">
        <f t="shared" si="132"/>
        <v>0</v>
      </c>
      <c r="K1316" s="7">
        <f t="shared" si="133"/>
        <v>3.2125935697392145</v>
      </c>
      <c r="L1316" s="2" t="str">
        <f t="shared" si="128"/>
        <v>Normal</v>
      </c>
      <c r="M1316" s="2" t="str">
        <f t="shared" si="129"/>
        <v>Normal</v>
      </c>
      <c r="N1316" s="2" t="str">
        <f t="shared" si="130"/>
        <v>No</v>
      </c>
    </row>
    <row r="1317" spans="1:14" x14ac:dyDescent="0.25">
      <c r="A1317" s="3">
        <v>45429</v>
      </c>
      <c r="B1317" s="4">
        <v>2024</v>
      </c>
      <c r="C1317" s="5">
        <v>1585</v>
      </c>
      <c r="D1317" s="5">
        <v>1635</v>
      </c>
      <c r="E1317" s="5">
        <v>1585</v>
      </c>
      <c r="F1317" s="5">
        <v>1620</v>
      </c>
      <c r="G1317" s="5">
        <v>1423.75</v>
      </c>
      <c r="H1317" s="6">
        <v>88081100</v>
      </c>
      <c r="I1317" s="22" t="str">
        <f t="shared" si="131"/>
        <v>+</v>
      </c>
      <c r="J1317" s="7">
        <f t="shared" si="132"/>
        <v>3.5143769968051117</v>
      </c>
      <c r="K1317" s="7">
        <f t="shared" si="133"/>
        <v>66.5316733312536</v>
      </c>
      <c r="L1317" s="2" t="str">
        <f t="shared" si="128"/>
        <v>Normal</v>
      </c>
      <c r="M1317" s="2" t="str">
        <f t="shared" si="129"/>
        <v>Normal</v>
      </c>
      <c r="N1317" s="2" t="str">
        <f t="shared" si="130"/>
        <v>No</v>
      </c>
    </row>
    <row r="1318" spans="1:14" x14ac:dyDescent="0.25">
      <c r="A1318" s="3">
        <v>45432</v>
      </c>
      <c r="B1318" s="4">
        <v>2024</v>
      </c>
      <c r="C1318" s="5">
        <v>1645</v>
      </c>
      <c r="D1318" s="5">
        <v>1670</v>
      </c>
      <c r="E1318" s="5">
        <v>1645</v>
      </c>
      <c r="F1318" s="5">
        <v>1655</v>
      </c>
      <c r="G1318" s="5">
        <v>1454.51</v>
      </c>
      <c r="H1318" s="6">
        <v>113540600</v>
      </c>
      <c r="I1318" s="22" t="str">
        <f t="shared" si="131"/>
        <v>+</v>
      </c>
      <c r="J1318" s="7">
        <f t="shared" si="132"/>
        <v>2.1604938271604937</v>
      </c>
      <c r="K1318" s="7">
        <f t="shared" si="133"/>
        <v>28.904611772559608</v>
      </c>
      <c r="L1318" s="2" t="str">
        <f t="shared" si="128"/>
        <v>Normal</v>
      </c>
      <c r="M1318" s="2" t="str">
        <f t="shared" si="129"/>
        <v>Normal</v>
      </c>
      <c r="N1318" s="2" t="str">
        <f t="shared" si="130"/>
        <v>No</v>
      </c>
    </row>
    <row r="1319" spans="1:14" x14ac:dyDescent="0.25">
      <c r="A1319" s="3">
        <v>45433</v>
      </c>
      <c r="B1319" s="4">
        <v>2024</v>
      </c>
      <c r="C1319" s="5">
        <v>1545</v>
      </c>
      <c r="D1319" s="5">
        <v>1595</v>
      </c>
      <c r="E1319" s="5">
        <v>1545</v>
      </c>
      <c r="F1319" s="5">
        <v>1565</v>
      </c>
      <c r="G1319" s="5">
        <v>1490.77</v>
      </c>
      <c r="H1319" s="6">
        <v>58009600</v>
      </c>
      <c r="I1319" s="22" t="str">
        <f t="shared" si="131"/>
        <v>-</v>
      </c>
      <c r="J1319" s="7">
        <f t="shared" si="132"/>
        <v>-5.4380664652567976</v>
      </c>
      <c r="K1319" s="7">
        <f t="shared" si="133"/>
        <v>-48.908496167890604</v>
      </c>
      <c r="L1319" s="2" t="str">
        <f t="shared" si="128"/>
        <v>Sharp Price Decrease</v>
      </c>
      <c r="M1319" s="2" t="str">
        <f t="shared" si="129"/>
        <v>Normal</v>
      </c>
      <c r="N1319" s="2" t="str">
        <f t="shared" si="130"/>
        <v>No</v>
      </c>
    </row>
    <row r="1320" spans="1:14" x14ac:dyDescent="0.25">
      <c r="A1320" s="3">
        <v>45434</v>
      </c>
      <c r="B1320" s="4">
        <v>2024</v>
      </c>
      <c r="C1320" s="5">
        <v>1565</v>
      </c>
      <c r="D1320" s="5">
        <v>1580</v>
      </c>
      <c r="E1320" s="5">
        <v>1520</v>
      </c>
      <c r="F1320" s="5">
        <v>1525</v>
      </c>
      <c r="G1320" s="5">
        <v>1452.67</v>
      </c>
      <c r="H1320" s="6">
        <v>42177500</v>
      </c>
      <c r="I1320" s="22" t="str">
        <f t="shared" si="131"/>
        <v>-</v>
      </c>
      <c r="J1320" s="7">
        <f t="shared" si="132"/>
        <v>-2.5559105431309903</v>
      </c>
      <c r="K1320" s="7">
        <f t="shared" si="133"/>
        <v>-27.29220680714916</v>
      </c>
      <c r="L1320" s="2" t="str">
        <f t="shared" si="128"/>
        <v>Normal</v>
      </c>
      <c r="M1320" s="2" t="str">
        <f t="shared" si="129"/>
        <v>Normal</v>
      </c>
      <c r="N1320" s="2" t="str">
        <f t="shared" si="130"/>
        <v>No</v>
      </c>
    </row>
    <row r="1321" spans="1:14" x14ac:dyDescent="0.25">
      <c r="A1321" s="3">
        <v>45439</v>
      </c>
      <c r="B1321" s="4">
        <v>2024</v>
      </c>
      <c r="C1321" s="5">
        <v>1525</v>
      </c>
      <c r="D1321" s="5">
        <v>1535</v>
      </c>
      <c r="E1321" s="5">
        <v>1490</v>
      </c>
      <c r="F1321" s="5">
        <v>1495</v>
      </c>
      <c r="G1321" s="5">
        <v>1424.09</v>
      </c>
      <c r="H1321" s="6">
        <v>34506000</v>
      </c>
      <c r="I1321" s="22" t="str">
        <f t="shared" si="131"/>
        <v>-</v>
      </c>
      <c r="J1321" s="7">
        <f t="shared" si="132"/>
        <v>-1.9672131147540985</v>
      </c>
      <c r="K1321" s="7">
        <f t="shared" si="133"/>
        <v>-18.188607669966213</v>
      </c>
      <c r="L1321" s="2" t="str">
        <f t="shared" si="128"/>
        <v>Normal</v>
      </c>
      <c r="M1321" s="2" t="str">
        <f t="shared" si="129"/>
        <v>Normal</v>
      </c>
      <c r="N1321" s="2" t="str">
        <f t="shared" si="130"/>
        <v>No</v>
      </c>
    </row>
    <row r="1322" spans="1:14" x14ac:dyDescent="0.25">
      <c r="A1322" s="3">
        <v>45440</v>
      </c>
      <c r="B1322" s="4">
        <v>2024</v>
      </c>
      <c r="C1322" s="5">
        <v>1500</v>
      </c>
      <c r="D1322" s="5">
        <v>1535</v>
      </c>
      <c r="E1322" s="5">
        <v>1500</v>
      </c>
      <c r="F1322" s="5">
        <v>1515</v>
      </c>
      <c r="G1322" s="5">
        <v>1443.15</v>
      </c>
      <c r="H1322" s="6">
        <v>33679300</v>
      </c>
      <c r="I1322" s="22" t="str">
        <f t="shared" si="131"/>
        <v>+</v>
      </c>
      <c r="J1322" s="7">
        <f t="shared" si="132"/>
        <v>1.3377926421404682</v>
      </c>
      <c r="K1322" s="7">
        <f t="shared" si="133"/>
        <v>-2.3958152205413552</v>
      </c>
      <c r="L1322" s="2" t="str">
        <f t="shared" si="128"/>
        <v>Normal</v>
      </c>
      <c r="M1322" s="2" t="str">
        <f t="shared" si="129"/>
        <v>Normal</v>
      </c>
      <c r="N1322" s="2" t="str">
        <f t="shared" si="130"/>
        <v>No</v>
      </c>
    </row>
    <row r="1323" spans="1:14" x14ac:dyDescent="0.25">
      <c r="A1323" s="3">
        <v>45441</v>
      </c>
      <c r="B1323" s="4">
        <v>2024</v>
      </c>
      <c r="C1323" s="5">
        <v>1525</v>
      </c>
      <c r="D1323" s="5">
        <v>1540</v>
      </c>
      <c r="E1323" s="5">
        <v>1505</v>
      </c>
      <c r="F1323" s="5">
        <v>1525</v>
      </c>
      <c r="G1323" s="5">
        <v>1452.67</v>
      </c>
      <c r="H1323" s="6">
        <v>27076800</v>
      </c>
      <c r="I1323" s="22" t="str">
        <f t="shared" si="131"/>
        <v>+</v>
      </c>
      <c r="J1323" s="7">
        <f t="shared" si="132"/>
        <v>0.66006600660066006</v>
      </c>
      <c r="K1323" s="7">
        <f t="shared" si="133"/>
        <v>-19.604029774965632</v>
      </c>
      <c r="L1323" s="2" t="str">
        <f t="shared" si="128"/>
        <v>Normal</v>
      </c>
      <c r="M1323" s="2" t="str">
        <f t="shared" si="129"/>
        <v>Normal</v>
      </c>
      <c r="N1323" s="2" t="str">
        <f t="shared" si="130"/>
        <v>No</v>
      </c>
    </row>
    <row r="1324" spans="1:14" x14ac:dyDescent="0.25">
      <c r="A1324" s="3">
        <v>45442</v>
      </c>
      <c r="B1324" s="4">
        <v>2024</v>
      </c>
      <c r="C1324" s="5">
        <v>1525</v>
      </c>
      <c r="D1324" s="5">
        <v>1525</v>
      </c>
      <c r="E1324" s="5">
        <v>1490</v>
      </c>
      <c r="F1324" s="5">
        <v>1490</v>
      </c>
      <c r="G1324" s="5">
        <v>1419.33</v>
      </c>
      <c r="H1324" s="6">
        <v>38241900</v>
      </c>
      <c r="I1324" s="22" t="str">
        <f t="shared" si="131"/>
        <v>-</v>
      </c>
      <c r="J1324" s="7">
        <f t="shared" si="132"/>
        <v>-2.2950819672131146</v>
      </c>
      <c r="K1324" s="7">
        <f t="shared" si="133"/>
        <v>41.234931749689771</v>
      </c>
      <c r="L1324" s="2" t="str">
        <f t="shared" si="128"/>
        <v>Normal</v>
      </c>
      <c r="M1324" s="2" t="str">
        <f t="shared" si="129"/>
        <v>Normal</v>
      </c>
      <c r="N1324" s="2" t="str">
        <f t="shared" si="130"/>
        <v>No</v>
      </c>
    </row>
    <row r="1325" spans="1:14" x14ac:dyDescent="0.25">
      <c r="A1325" s="3">
        <v>45443</v>
      </c>
      <c r="B1325" s="4">
        <v>2024</v>
      </c>
      <c r="C1325" s="5">
        <v>1490</v>
      </c>
      <c r="D1325" s="5">
        <v>1510</v>
      </c>
      <c r="E1325" s="5">
        <v>1465</v>
      </c>
      <c r="F1325" s="5">
        <v>1465</v>
      </c>
      <c r="G1325" s="5">
        <v>1395.52</v>
      </c>
      <c r="H1325" s="6">
        <v>81505200</v>
      </c>
      <c r="I1325" s="22" t="str">
        <f t="shared" si="131"/>
        <v>-</v>
      </c>
      <c r="J1325" s="7">
        <f t="shared" si="132"/>
        <v>-1.6778523489932886</v>
      </c>
      <c r="K1325" s="7">
        <f t="shared" si="133"/>
        <v>113.13062373992923</v>
      </c>
      <c r="L1325" s="2" t="str">
        <f t="shared" si="128"/>
        <v>Normal</v>
      </c>
      <c r="M1325" s="2" t="str">
        <f t="shared" si="129"/>
        <v>Normal</v>
      </c>
      <c r="N1325" s="2" t="str">
        <f t="shared" si="130"/>
        <v>No</v>
      </c>
    </row>
    <row r="1326" spans="1:14" x14ac:dyDescent="0.25">
      <c r="A1326" s="3">
        <v>45446</v>
      </c>
      <c r="B1326" s="4">
        <v>2024</v>
      </c>
      <c r="C1326" s="5">
        <v>1465</v>
      </c>
      <c r="D1326" s="5">
        <v>1490</v>
      </c>
      <c r="E1326" s="5">
        <v>1465</v>
      </c>
      <c r="F1326" s="5">
        <v>1470</v>
      </c>
      <c r="G1326" s="5">
        <v>1400.28</v>
      </c>
      <c r="H1326" s="6">
        <v>29619200</v>
      </c>
      <c r="I1326" s="22" t="str">
        <f t="shared" si="131"/>
        <v>+</v>
      </c>
      <c r="J1326" s="7">
        <f t="shared" si="132"/>
        <v>0.34129692832764508</v>
      </c>
      <c r="K1326" s="7">
        <f t="shared" si="133"/>
        <v>-63.659741955114526</v>
      </c>
      <c r="L1326" s="2" t="str">
        <f t="shared" si="128"/>
        <v>Normal</v>
      </c>
      <c r="M1326" s="2" t="str">
        <f t="shared" si="129"/>
        <v>Sharp Volume Decrease</v>
      </c>
      <c r="N1326" s="2" t="str">
        <f t="shared" si="130"/>
        <v>No</v>
      </c>
    </row>
    <row r="1327" spans="1:14" x14ac:dyDescent="0.25">
      <c r="A1327" s="3">
        <v>45447</v>
      </c>
      <c r="B1327" s="4">
        <v>2024</v>
      </c>
      <c r="C1327" s="5">
        <v>1470</v>
      </c>
      <c r="D1327" s="5">
        <v>1485</v>
      </c>
      <c r="E1327" s="5">
        <v>1435</v>
      </c>
      <c r="F1327" s="5">
        <v>1440</v>
      </c>
      <c r="G1327" s="5">
        <v>1371.7</v>
      </c>
      <c r="H1327" s="6">
        <v>60287600</v>
      </c>
      <c r="I1327" s="22" t="str">
        <f t="shared" si="131"/>
        <v>-</v>
      </c>
      <c r="J1327" s="7">
        <f t="shared" si="132"/>
        <v>-2.0408163265306123</v>
      </c>
      <c r="K1327" s="7">
        <f t="shared" si="133"/>
        <v>103.54229688850477</v>
      </c>
      <c r="L1327" s="2" t="str">
        <f t="shared" si="128"/>
        <v>Normal</v>
      </c>
      <c r="M1327" s="2" t="str">
        <f t="shared" si="129"/>
        <v>Normal</v>
      </c>
      <c r="N1327" s="2" t="str">
        <f t="shared" si="130"/>
        <v>No</v>
      </c>
    </row>
    <row r="1328" spans="1:14" x14ac:dyDescent="0.25">
      <c r="A1328" s="3">
        <v>45448</v>
      </c>
      <c r="B1328" s="4">
        <v>2024</v>
      </c>
      <c r="C1328" s="5">
        <v>1440</v>
      </c>
      <c r="D1328" s="5">
        <v>1445</v>
      </c>
      <c r="E1328" s="5">
        <v>1340</v>
      </c>
      <c r="F1328" s="5">
        <v>1340</v>
      </c>
      <c r="G1328" s="5">
        <v>1276.45</v>
      </c>
      <c r="H1328" s="6">
        <v>104191600</v>
      </c>
      <c r="I1328" s="22" t="str">
        <f t="shared" si="131"/>
        <v>-</v>
      </c>
      <c r="J1328" s="7">
        <f t="shared" si="132"/>
        <v>-6.9444444444444446</v>
      </c>
      <c r="K1328" s="7">
        <f t="shared" si="133"/>
        <v>72.824262369044376</v>
      </c>
      <c r="L1328" s="2" t="str">
        <f t="shared" si="128"/>
        <v>Sharp Price Decrease</v>
      </c>
      <c r="M1328" s="2" t="str">
        <f t="shared" si="129"/>
        <v>Normal</v>
      </c>
      <c r="N1328" s="2" t="str">
        <f t="shared" si="130"/>
        <v>No</v>
      </c>
    </row>
    <row r="1329" spans="1:14" x14ac:dyDescent="0.25">
      <c r="A1329" s="3">
        <v>45449</v>
      </c>
      <c r="B1329" s="4">
        <v>2024</v>
      </c>
      <c r="C1329" s="5">
        <v>1345</v>
      </c>
      <c r="D1329" s="5">
        <v>1380</v>
      </c>
      <c r="E1329" s="5">
        <v>1305</v>
      </c>
      <c r="F1329" s="5">
        <v>1315</v>
      </c>
      <c r="G1329" s="5">
        <v>1252.6300000000001</v>
      </c>
      <c r="H1329" s="6">
        <v>73528000</v>
      </c>
      <c r="I1329" s="22" t="str">
        <f t="shared" si="131"/>
        <v>-</v>
      </c>
      <c r="J1329" s="7">
        <f t="shared" si="132"/>
        <v>-1.8656716417910446</v>
      </c>
      <c r="K1329" s="7">
        <f t="shared" si="133"/>
        <v>-29.430011632415663</v>
      </c>
      <c r="L1329" s="2" t="str">
        <f t="shared" si="128"/>
        <v>Normal</v>
      </c>
      <c r="M1329" s="2" t="str">
        <f t="shared" si="129"/>
        <v>Normal</v>
      </c>
      <c r="N1329" s="2" t="str">
        <f t="shared" si="130"/>
        <v>No</v>
      </c>
    </row>
    <row r="1330" spans="1:14" x14ac:dyDescent="0.25">
      <c r="A1330" s="3">
        <v>45450</v>
      </c>
      <c r="B1330" s="4">
        <v>2024</v>
      </c>
      <c r="C1330" s="5">
        <v>1320</v>
      </c>
      <c r="D1330" s="5">
        <v>1350</v>
      </c>
      <c r="E1330" s="5">
        <v>1300</v>
      </c>
      <c r="F1330" s="5">
        <v>1300</v>
      </c>
      <c r="G1330" s="5">
        <v>1238.3399999999999</v>
      </c>
      <c r="H1330" s="6">
        <v>77512800</v>
      </c>
      <c r="I1330" s="22" t="str">
        <f t="shared" si="131"/>
        <v>-</v>
      </c>
      <c r="J1330" s="7">
        <f t="shared" si="132"/>
        <v>-1.1406844106463878</v>
      </c>
      <c r="K1330" s="7">
        <f t="shared" si="133"/>
        <v>5.4194320530954192</v>
      </c>
      <c r="L1330" s="2" t="str">
        <f t="shared" si="128"/>
        <v>Normal</v>
      </c>
      <c r="M1330" s="2" t="str">
        <f t="shared" si="129"/>
        <v>Normal</v>
      </c>
      <c r="N1330" s="2" t="str">
        <f t="shared" si="130"/>
        <v>No</v>
      </c>
    </row>
    <row r="1331" spans="1:14" x14ac:dyDescent="0.25">
      <c r="A1331" s="3">
        <v>45453</v>
      </c>
      <c r="B1331" s="4">
        <v>2024</v>
      </c>
      <c r="C1331" s="5">
        <v>1290</v>
      </c>
      <c r="D1331" s="5">
        <v>1300</v>
      </c>
      <c r="E1331" s="5">
        <v>1215</v>
      </c>
      <c r="F1331" s="5">
        <v>1240</v>
      </c>
      <c r="G1331" s="5">
        <v>1181.19</v>
      </c>
      <c r="H1331" s="6">
        <v>98034100</v>
      </c>
      <c r="I1331" s="22" t="str">
        <f t="shared" si="131"/>
        <v>-</v>
      </c>
      <c r="J1331" s="7">
        <f t="shared" si="132"/>
        <v>-4.6153846153846159</v>
      </c>
      <c r="K1331" s="7">
        <f t="shared" si="133"/>
        <v>26.474724174587937</v>
      </c>
      <c r="L1331" s="2" t="str">
        <f t="shared" si="128"/>
        <v>Sharp Price Decrease</v>
      </c>
      <c r="M1331" s="2" t="str">
        <f t="shared" si="129"/>
        <v>Normal</v>
      </c>
      <c r="N1331" s="2" t="str">
        <f t="shared" si="130"/>
        <v>No</v>
      </c>
    </row>
    <row r="1332" spans="1:14" x14ac:dyDescent="0.25">
      <c r="A1332" s="3">
        <v>45454</v>
      </c>
      <c r="B1332" s="4">
        <v>2024</v>
      </c>
      <c r="C1332" s="5">
        <v>1240</v>
      </c>
      <c r="D1332" s="5">
        <v>1280</v>
      </c>
      <c r="E1332" s="5">
        <v>1240</v>
      </c>
      <c r="F1332" s="5">
        <v>1255</v>
      </c>
      <c r="G1332" s="5">
        <v>1195.48</v>
      </c>
      <c r="H1332" s="6">
        <v>64084300</v>
      </c>
      <c r="I1332" s="22" t="str">
        <f t="shared" si="131"/>
        <v>+</v>
      </c>
      <c r="J1332" s="7">
        <f t="shared" si="132"/>
        <v>1.2096774193548387</v>
      </c>
      <c r="K1332" s="7">
        <f t="shared" si="133"/>
        <v>-34.630603024865835</v>
      </c>
      <c r="L1332" s="2" t="str">
        <f t="shared" si="128"/>
        <v>Normal</v>
      </c>
      <c r="M1332" s="2" t="str">
        <f t="shared" si="129"/>
        <v>Normal</v>
      </c>
      <c r="N1332" s="2" t="str">
        <f t="shared" si="130"/>
        <v>No</v>
      </c>
    </row>
    <row r="1333" spans="1:14" x14ac:dyDescent="0.25">
      <c r="A1333" s="3">
        <v>45455</v>
      </c>
      <c r="B1333" s="4">
        <v>2024</v>
      </c>
      <c r="C1333" s="5">
        <v>1255</v>
      </c>
      <c r="D1333" s="5">
        <v>1270</v>
      </c>
      <c r="E1333" s="5">
        <v>1240</v>
      </c>
      <c r="F1333" s="5">
        <v>1270</v>
      </c>
      <c r="G1333" s="5">
        <v>1209.77</v>
      </c>
      <c r="H1333" s="6">
        <v>35959900</v>
      </c>
      <c r="I1333" s="22" t="str">
        <f t="shared" si="131"/>
        <v>+</v>
      </c>
      <c r="J1333" s="7">
        <f t="shared" si="132"/>
        <v>1.1952191235059761</v>
      </c>
      <c r="K1333" s="7">
        <f t="shared" si="133"/>
        <v>-43.886568161000433</v>
      </c>
      <c r="L1333" s="2" t="str">
        <f t="shared" si="128"/>
        <v>Normal</v>
      </c>
      <c r="M1333" s="2" t="str">
        <f t="shared" si="129"/>
        <v>Normal</v>
      </c>
      <c r="N1333" s="2" t="str">
        <f t="shared" si="130"/>
        <v>No</v>
      </c>
    </row>
    <row r="1334" spans="1:14" x14ac:dyDescent="0.25">
      <c r="A1334" s="3">
        <v>45456</v>
      </c>
      <c r="B1334" s="4">
        <v>2024</v>
      </c>
      <c r="C1334" s="5">
        <v>1270</v>
      </c>
      <c r="D1334" s="5">
        <v>1285</v>
      </c>
      <c r="E1334" s="5">
        <v>1255</v>
      </c>
      <c r="F1334" s="5">
        <v>1255</v>
      </c>
      <c r="G1334" s="5">
        <v>1195.48</v>
      </c>
      <c r="H1334" s="6">
        <v>40672000</v>
      </c>
      <c r="I1334" s="22" t="str">
        <f t="shared" si="131"/>
        <v>-</v>
      </c>
      <c r="J1334" s="7">
        <f t="shared" si="132"/>
        <v>-1.1811023622047243</v>
      </c>
      <c r="K1334" s="7">
        <f t="shared" si="133"/>
        <v>13.103762802454957</v>
      </c>
      <c r="L1334" s="2" t="str">
        <f t="shared" si="128"/>
        <v>Normal</v>
      </c>
      <c r="M1334" s="2" t="str">
        <f t="shared" si="129"/>
        <v>Normal</v>
      </c>
      <c r="N1334" s="2" t="str">
        <f t="shared" si="130"/>
        <v>No</v>
      </c>
    </row>
    <row r="1335" spans="1:14" x14ac:dyDescent="0.25">
      <c r="A1335" s="3">
        <v>45457</v>
      </c>
      <c r="B1335" s="4">
        <v>2024</v>
      </c>
      <c r="C1335" s="5">
        <v>1255</v>
      </c>
      <c r="D1335" s="5">
        <v>1260</v>
      </c>
      <c r="E1335" s="5">
        <v>1205</v>
      </c>
      <c r="F1335" s="5">
        <v>1210</v>
      </c>
      <c r="G1335" s="5">
        <v>1152.6099999999999</v>
      </c>
      <c r="H1335" s="6">
        <v>48922900</v>
      </c>
      <c r="I1335" s="22" t="str">
        <f t="shared" si="131"/>
        <v>-</v>
      </c>
      <c r="J1335" s="7">
        <f t="shared" si="132"/>
        <v>-3.5856573705179287</v>
      </c>
      <c r="K1335" s="7">
        <f t="shared" si="133"/>
        <v>20.286437844217151</v>
      </c>
      <c r="L1335" s="2" t="str">
        <f t="shared" si="128"/>
        <v>Normal</v>
      </c>
      <c r="M1335" s="2" t="str">
        <f t="shared" si="129"/>
        <v>Normal</v>
      </c>
      <c r="N1335" s="2" t="str">
        <f t="shared" si="130"/>
        <v>No</v>
      </c>
    </row>
    <row r="1336" spans="1:14" x14ac:dyDescent="0.25">
      <c r="A1336" s="3">
        <v>45462</v>
      </c>
      <c r="B1336" s="4">
        <v>2024</v>
      </c>
      <c r="C1336" s="5">
        <v>1215</v>
      </c>
      <c r="D1336" s="5">
        <v>1225</v>
      </c>
      <c r="E1336" s="5">
        <v>1175</v>
      </c>
      <c r="F1336" s="5">
        <v>1215</v>
      </c>
      <c r="G1336" s="5">
        <v>1157.3699999999999</v>
      </c>
      <c r="H1336" s="6">
        <v>36744000</v>
      </c>
      <c r="I1336" s="22" t="str">
        <f t="shared" si="131"/>
        <v>+</v>
      </c>
      <c r="J1336" s="7">
        <f t="shared" si="132"/>
        <v>0.41322314049586778</v>
      </c>
      <c r="K1336" s="7">
        <f t="shared" si="133"/>
        <v>-24.894068013139041</v>
      </c>
      <c r="L1336" s="2" t="str">
        <f t="shared" si="128"/>
        <v>Normal</v>
      </c>
      <c r="M1336" s="2" t="str">
        <f t="shared" si="129"/>
        <v>Normal</v>
      </c>
      <c r="N1336" s="2" t="str">
        <f t="shared" si="130"/>
        <v>No</v>
      </c>
    </row>
    <row r="1337" spans="1:14" x14ac:dyDescent="0.25">
      <c r="A1337" s="3">
        <v>45463</v>
      </c>
      <c r="B1337" s="4">
        <v>2024</v>
      </c>
      <c r="C1337" s="5">
        <v>1215</v>
      </c>
      <c r="D1337" s="5">
        <v>1225</v>
      </c>
      <c r="E1337" s="5">
        <v>1200</v>
      </c>
      <c r="F1337" s="5">
        <v>1215</v>
      </c>
      <c r="G1337" s="5">
        <v>1157.3699999999999</v>
      </c>
      <c r="H1337" s="6">
        <v>33480600</v>
      </c>
      <c r="I1337" s="22" t="str">
        <f t="shared" si="131"/>
        <v>0</v>
      </c>
      <c r="J1337" s="7">
        <f t="shared" si="132"/>
        <v>0</v>
      </c>
      <c r="K1337" s="7">
        <f t="shared" si="133"/>
        <v>-8.8814500326583925</v>
      </c>
      <c r="L1337" s="2" t="str">
        <f t="shared" si="128"/>
        <v>Normal</v>
      </c>
      <c r="M1337" s="2" t="str">
        <f t="shared" si="129"/>
        <v>Normal</v>
      </c>
      <c r="N1337" s="2" t="str">
        <f t="shared" si="130"/>
        <v>No</v>
      </c>
    </row>
    <row r="1338" spans="1:14" x14ac:dyDescent="0.25">
      <c r="A1338" s="3">
        <v>45464</v>
      </c>
      <c r="B1338" s="4">
        <v>2024</v>
      </c>
      <c r="C1338" s="5">
        <v>1220</v>
      </c>
      <c r="D1338" s="5">
        <v>1255</v>
      </c>
      <c r="E1338" s="5">
        <v>1220</v>
      </c>
      <c r="F1338" s="5">
        <v>1230</v>
      </c>
      <c r="G1338" s="5">
        <v>1171.6600000000001</v>
      </c>
      <c r="H1338" s="6">
        <v>55789200</v>
      </c>
      <c r="I1338" s="22" t="str">
        <f t="shared" si="131"/>
        <v>+</v>
      </c>
      <c r="J1338" s="7">
        <f t="shared" si="132"/>
        <v>1.2345679012345678</v>
      </c>
      <c r="K1338" s="7">
        <f t="shared" si="133"/>
        <v>66.631422375943089</v>
      </c>
      <c r="L1338" s="2" t="str">
        <f t="shared" si="128"/>
        <v>Normal</v>
      </c>
      <c r="M1338" s="2" t="str">
        <f t="shared" si="129"/>
        <v>Normal</v>
      </c>
      <c r="N1338" s="2" t="str">
        <f t="shared" si="130"/>
        <v>No</v>
      </c>
    </row>
    <row r="1339" spans="1:14" x14ac:dyDescent="0.25">
      <c r="A1339" s="3">
        <v>45467</v>
      </c>
      <c r="B1339" s="4">
        <v>2024</v>
      </c>
      <c r="C1339" s="5">
        <v>1235</v>
      </c>
      <c r="D1339" s="5">
        <v>1260</v>
      </c>
      <c r="E1339" s="5">
        <v>1235</v>
      </c>
      <c r="F1339" s="5">
        <v>1250</v>
      </c>
      <c r="G1339" s="5">
        <v>1190.71</v>
      </c>
      <c r="H1339" s="6">
        <v>22559600</v>
      </c>
      <c r="I1339" s="22" t="str">
        <f t="shared" si="131"/>
        <v>+</v>
      </c>
      <c r="J1339" s="7">
        <f t="shared" si="132"/>
        <v>1.6260162601626018</v>
      </c>
      <c r="K1339" s="7">
        <f t="shared" si="133"/>
        <v>-59.562782760821086</v>
      </c>
      <c r="L1339" s="2" t="str">
        <f t="shared" si="128"/>
        <v>Normal</v>
      </c>
      <c r="M1339" s="2" t="str">
        <f t="shared" si="129"/>
        <v>Sharp Volume Decrease</v>
      </c>
      <c r="N1339" s="2" t="str">
        <f t="shared" si="130"/>
        <v>No</v>
      </c>
    </row>
    <row r="1340" spans="1:14" x14ac:dyDescent="0.25">
      <c r="A1340" s="3">
        <v>45468</v>
      </c>
      <c r="B1340" s="4">
        <v>2024</v>
      </c>
      <c r="C1340" s="5">
        <v>1255</v>
      </c>
      <c r="D1340" s="5">
        <v>1260</v>
      </c>
      <c r="E1340" s="5">
        <v>1220</v>
      </c>
      <c r="F1340" s="5">
        <v>1225</v>
      </c>
      <c r="G1340" s="5">
        <v>1166.9000000000001</v>
      </c>
      <c r="H1340" s="6">
        <v>29652400</v>
      </c>
      <c r="I1340" s="22" t="str">
        <f t="shared" si="131"/>
        <v>-</v>
      </c>
      <c r="J1340" s="7">
        <f t="shared" si="132"/>
        <v>-2</v>
      </c>
      <c r="K1340" s="7">
        <f t="shared" si="133"/>
        <v>31.440273763719219</v>
      </c>
      <c r="L1340" s="2" t="str">
        <f t="shared" si="128"/>
        <v>Normal</v>
      </c>
      <c r="M1340" s="2" t="str">
        <f t="shared" si="129"/>
        <v>Normal</v>
      </c>
      <c r="N1340" s="2" t="str">
        <f t="shared" si="130"/>
        <v>No</v>
      </c>
    </row>
    <row r="1341" spans="1:14" x14ac:dyDescent="0.25">
      <c r="A1341" s="3">
        <v>45469</v>
      </c>
      <c r="B1341" s="4">
        <v>2024</v>
      </c>
      <c r="C1341" s="5">
        <v>1230</v>
      </c>
      <c r="D1341" s="5">
        <v>1235</v>
      </c>
      <c r="E1341" s="5">
        <v>1210</v>
      </c>
      <c r="F1341" s="5">
        <v>1215</v>
      </c>
      <c r="G1341" s="5">
        <v>1157.3699999999999</v>
      </c>
      <c r="H1341" s="6">
        <v>29664300</v>
      </c>
      <c r="I1341" s="22" t="str">
        <f t="shared" si="131"/>
        <v>-</v>
      </c>
      <c r="J1341" s="7">
        <f t="shared" si="132"/>
        <v>-0.81632653061224492</v>
      </c>
      <c r="K1341" s="7">
        <f t="shared" si="133"/>
        <v>4.0131658820196675E-2</v>
      </c>
      <c r="L1341" s="2" t="str">
        <f t="shared" si="128"/>
        <v>Normal</v>
      </c>
      <c r="M1341" s="2" t="str">
        <f t="shared" si="129"/>
        <v>Normal</v>
      </c>
      <c r="N1341" s="2" t="str">
        <f t="shared" si="130"/>
        <v>No</v>
      </c>
    </row>
    <row r="1342" spans="1:14" x14ac:dyDescent="0.25">
      <c r="A1342" s="3">
        <v>45470</v>
      </c>
      <c r="B1342" s="4">
        <v>2024</v>
      </c>
      <c r="C1342" s="5">
        <v>1200</v>
      </c>
      <c r="D1342" s="5">
        <v>1230</v>
      </c>
      <c r="E1342" s="5">
        <v>1200</v>
      </c>
      <c r="F1342" s="5">
        <v>1230</v>
      </c>
      <c r="G1342" s="5">
        <v>1171.6600000000001</v>
      </c>
      <c r="H1342" s="6">
        <v>24220600</v>
      </c>
      <c r="I1342" s="22" t="str">
        <f t="shared" si="131"/>
        <v>+</v>
      </c>
      <c r="J1342" s="7">
        <f t="shared" si="132"/>
        <v>1.2345679012345678</v>
      </c>
      <c r="K1342" s="7">
        <f t="shared" si="133"/>
        <v>-18.351014519135799</v>
      </c>
      <c r="L1342" s="2" t="str">
        <f t="shared" si="128"/>
        <v>Normal</v>
      </c>
      <c r="M1342" s="2" t="str">
        <f t="shared" si="129"/>
        <v>Normal</v>
      </c>
      <c r="N1342" s="2" t="str">
        <f t="shared" si="130"/>
        <v>No</v>
      </c>
    </row>
    <row r="1343" spans="1:14" x14ac:dyDescent="0.25">
      <c r="A1343" s="3">
        <v>45471</v>
      </c>
      <c r="B1343" s="4">
        <v>2024</v>
      </c>
      <c r="C1343" s="5">
        <v>1235</v>
      </c>
      <c r="D1343" s="5">
        <v>1265</v>
      </c>
      <c r="E1343" s="5">
        <v>1230</v>
      </c>
      <c r="F1343" s="5">
        <v>1250</v>
      </c>
      <c r="G1343" s="5">
        <v>1190.71</v>
      </c>
      <c r="H1343" s="6">
        <v>54955600</v>
      </c>
      <c r="I1343" s="22" t="str">
        <f t="shared" si="131"/>
        <v>+</v>
      </c>
      <c r="J1343" s="7">
        <f t="shared" si="132"/>
        <v>1.6260162601626018</v>
      </c>
      <c r="K1343" s="7">
        <f t="shared" si="133"/>
        <v>126.89611322593164</v>
      </c>
      <c r="L1343" s="2" t="str">
        <f t="shared" si="128"/>
        <v>Normal</v>
      </c>
      <c r="M1343" s="2" t="str">
        <f t="shared" si="129"/>
        <v>Normal</v>
      </c>
      <c r="N1343" s="2" t="str">
        <f t="shared" si="130"/>
        <v>No</v>
      </c>
    </row>
    <row r="1344" spans="1:14" x14ac:dyDescent="0.25">
      <c r="A1344" s="3">
        <v>45474</v>
      </c>
      <c r="B1344" s="4">
        <v>2024</v>
      </c>
      <c r="C1344" s="5">
        <v>1255</v>
      </c>
      <c r="D1344" s="5">
        <v>1305</v>
      </c>
      <c r="E1344" s="5">
        <v>1250</v>
      </c>
      <c r="F1344" s="5">
        <v>1305</v>
      </c>
      <c r="G1344" s="5">
        <v>1243.1099999999999</v>
      </c>
      <c r="H1344" s="6">
        <v>69300100</v>
      </c>
      <c r="I1344" s="22" t="str">
        <f t="shared" si="131"/>
        <v>+</v>
      </c>
      <c r="J1344" s="7">
        <f t="shared" si="132"/>
        <v>4.3999999999999995</v>
      </c>
      <c r="K1344" s="7">
        <f t="shared" si="133"/>
        <v>26.101980507900922</v>
      </c>
      <c r="L1344" s="2" t="str">
        <f t="shared" si="128"/>
        <v>Normal</v>
      </c>
      <c r="M1344" s="2" t="str">
        <f t="shared" si="129"/>
        <v>Normal</v>
      </c>
      <c r="N1344" s="2" t="str">
        <f t="shared" si="130"/>
        <v>No</v>
      </c>
    </row>
    <row r="1345" spans="1:14" x14ac:dyDescent="0.25">
      <c r="A1345" s="3">
        <v>45475</v>
      </c>
      <c r="B1345" s="4">
        <v>2024</v>
      </c>
      <c r="C1345" s="5">
        <v>1310</v>
      </c>
      <c r="D1345" s="5">
        <v>1315</v>
      </c>
      <c r="E1345" s="5">
        <v>1280</v>
      </c>
      <c r="F1345" s="5">
        <v>1295</v>
      </c>
      <c r="G1345" s="5">
        <v>1233.58</v>
      </c>
      <c r="H1345" s="6">
        <v>58443100</v>
      </c>
      <c r="I1345" s="22" t="str">
        <f t="shared" si="131"/>
        <v>-</v>
      </c>
      <c r="J1345" s="7">
        <f t="shared" si="132"/>
        <v>-0.76628352490421447</v>
      </c>
      <c r="K1345" s="7">
        <f t="shared" si="133"/>
        <v>-15.666644059676681</v>
      </c>
      <c r="L1345" s="2" t="str">
        <f t="shared" si="128"/>
        <v>Normal</v>
      </c>
      <c r="M1345" s="2" t="str">
        <f t="shared" si="129"/>
        <v>Normal</v>
      </c>
      <c r="N1345" s="2" t="str">
        <f t="shared" si="130"/>
        <v>No</v>
      </c>
    </row>
    <row r="1346" spans="1:14" x14ac:dyDescent="0.25">
      <c r="A1346" s="3">
        <v>45476</v>
      </c>
      <c r="B1346" s="4">
        <v>2024</v>
      </c>
      <c r="C1346" s="5">
        <v>1295</v>
      </c>
      <c r="D1346" s="5">
        <v>1315</v>
      </c>
      <c r="E1346" s="5">
        <v>1280</v>
      </c>
      <c r="F1346" s="5">
        <v>1315</v>
      </c>
      <c r="G1346" s="5">
        <v>1252.6300000000001</v>
      </c>
      <c r="H1346" s="6">
        <v>40057600</v>
      </c>
      <c r="I1346" s="22" t="str">
        <f t="shared" si="131"/>
        <v>+</v>
      </c>
      <c r="J1346" s="7">
        <f t="shared" si="132"/>
        <v>1.5444015444015444</v>
      </c>
      <c r="K1346" s="7">
        <f t="shared" si="133"/>
        <v>-31.458803520004931</v>
      </c>
      <c r="L1346" s="2" t="str">
        <f t="shared" si="128"/>
        <v>Normal</v>
      </c>
      <c r="M1346" s="2" t="str">
        <f t="shared" si="129"/>
        <v>Normal</v>
      </c>
      <c r="N1346" s="2" t="str">
        <f t="shared" si="130"/>
        <v>No</v>
      </c>
    </row>
    <row r="1347" spans="1:14" x14ac:dyDescent="0.25">
      <c r="A1347" s="3">
        <v>45477</v>
      </c>
      <c r="B1347" s="4">
        <v>2024</v>
      </c>
      <c r="C1347" s="5">
        <v>1325</v>
      </c>
      <c r="D1347" s="5">
        <v>1335</v>
      </c>
      <c r="E1347" s="5">
        <v>1320</v>
      </c>
      <c r="F1347" s="5">
        <v>1325</v>
      </c>
      <c r="G1347" s="5">
        <v>1262.1600000000001</v>
      </c>
      <c r="H1347" s="6">
        <v>46070600</v>
      </c>
      <c r="I1347" s="22" t="str">
        <f t="shared" si="131"/>
        <v>+</v>
      </c>
      <c r="J1347" s="7">
        <f t="shared" si="132"/>
        <v>0.76045627376425851</v>
      </c>
      <c r="K1347" s="7">
        <f t="shared" si="133"/>
        <v>15.010884326569741</v>
      </c>
      <c r="L1347" s="2" t="str">
        <f t="shared" ref="L1347:L1410" si="134">IFERROR(IF(OR(J1347="",ISBLANK(J1347)),"Normal",IF(J1347&lt;=$U$6,"Sharp Price Decrease",IF(J1347&gt;=$U$7,"Sharp Price Increase","Normal"))),"Normal")</f>
        <v>Normal</v>
      </c>
      <c r="M1347" s="2" t="str">
        <f t="shared" ref="M1347:M1410" si="135">IFERROR(IF(OR(K1347="",ISBLANK(K1347)),"Normal",IF(K1347&lt;=$U$8,"Sharp Volume Decrease",IF(K1347&gt;=$U$9,"Sharp Volume Increase","Normal"))),"Normal")</f>
        <v>Normal</v>
      </c>
      <c r="N1347" s="2" t="str">
        <f t="shared" ref="N1347:N1410" si="136">IFERROR(IF(AND(OR(L1347="Sharp Price Increase",L1347="Sharp Price Decrease"),OR(M1347="Sharp Volume Increase",M1347="Sharp Volume Decrease")),"Yes","No"),"No")</f>
        <v>No</v>
      </c>
    </row>
    <row r="1348" spans="1:14" x14ac:dyDescent="0.25">
      <c r="A1348" s="3">
        <v>45478</v>
      </c>
      <c r="B1348" s="4">
        <v>2024</v>
      </c>
      <c r="C1348" s="5">
        <v>1325</v>
      </c>
      <c r="D1348" s="5">
        <v>1330</v>
      </c>
      <c r="E1348" s="5">
        <v>1305</v>
      </c>
      <c r="F1348" s="5">
        <v>1310</v>
      </c>
      <c r="G1348" s="5">
        <v>1247.8699999999999</v>
      </c>
      <c r="H1348" s="6">
        <v>21984500</v>
      </c>
      <c r="I1348" s="22" t="str">
        <f t="shared" ref="I1348:I1411" si="137">IFERROR(IF(OR(F1347="",F1348=""),"",IF(F1348-F1347&lt;0,"-",IF(F1348-F1347&gt;0,"+","0"))),"")</f>
        <v>-</v>
      </c>
      <c r="J1348" s="7">
        <f t="shared" ref="J1348:J1411" si="138">(F1348-F1347)/F1347*100</f>
        <v>-1.1320754716981132</v>
      </c>
      <c r="K1348" s="7">
        <f t="shared" ref="K1348:K1411" si="139">(H1348-H1347)/H1347*100</f>
        <v>-52.2808472214384</v>
      </c>
      <c r="L1348" s="2" t="str">
        <f t="shared" si="134"/>
        <v>Normal</v>
      </c>
      <c r="M1348" s="2" t="str">
        <f t="shared" si="135"/>
        <v>Normal</v>
      </c>
      <c r="N1348" s="2" t="str">
        <f t="shared" si="136"/>
        <v>No</v>
      </c>
    </row>
    <row r="1349" spans="1:14" x14ac:dyDescent="0.25">
      <c r="A1349" s="3">
        <v>45481</v>
      </c>
      <c r="B1349" s="4">
        <v>2024</v>
      </c>
      <c r="C1349" s="5">
        <v>1315</v>
      </c>
      <c r="D1349" s="5">
        <v>1365</v>
      </c>
      <c r="E1349" s="5">
        <v>1315</v>
      </c>
      <c r="F1349" s="5">
        <v>1365</v>
      </c>
      <c r="G1349" s="5">
        <v>1300.26</v>
      </c>
      <c r="H1349" s="6">
        <v>61088000</v>
      </c>
      <c r="I1349" s="22" t="str">
        <f t="shared" si="137"/>
        <v>+</v>
      </c>
      <c r="J1349" s="7">
        <f t="shared" si="138"/>
        <v>4.1984732824427482</v>
      </c>
      <c r="K1349" s="7">
        <f t="shared" si="139"/>
        <v>177.86849826013781</v>
      </c>
      <c r="L1349" s="2" t="str">
        <f t="shared" si="134"/>
        <v>Normal</v>
      </c>
      <c r="M1349" s="2" t="str">
        <f t="shared" si="135"/>
        <v>Sharp Volume Increase</v>
      </c>
      <c r="N1349" s="2" t="str">
        <f t="shared" si="136"/>
        <v>No</v>
      </c>
    </row>
    <row r="1350" spans="1:14" x14ac:dyDescent="0.25">
      <c r="A1350" s="3">
        <v>45482</v>
      </c>
      <c r="B1350" s="4">
        <v>2024</v>
      </c>
      <c r="C1350" s="5">
        <v>1365</v>
      </c>
      <c r="D1350" s="5">
        <v>1375</v>
      </c>
      <c r="E1350" s="5">
        <v>1340</v>
      </c>
      <c r="F1350" s="5">
        <v>1345</v>
      </c>
      <c r="G1350" s="5">
        <v>1281.21</v>
      </c>
      <c r="H1350" s="6">
        <v>39832500</v>
      </c>
      <c r="I1350" s="22" t="str">
        <f t="shared" si="137"/>
        <v>-</v>
      </c>
      <c r="J1350" s="7">
        <f t="shared" si="138"/>
        <v>-1.4652014652014651</v>
      </c>
      <c r="K1350" s="7">
        <f t="shared" si="139"/>
        <v>-34.794886066003144</v>
      </c>
      <c r="L1350" s="2" t="str">
        <f t="shared" si="134"/>
        <v>Normal</v>
      </c>
      <c r="M1350" s="2" t="str">
        <f t="shared" si="135"/>
        <v>Normal</v>
      </c>
      <c r="N1350" s="2" t="str">
        <f t="shared" si="136"/>
        <v>No</v>
      </c>
    </row>
    <row r="1351" spans="1:14" x14ac:dyDescent="0.25">
      <c r="A1351" s="3">
        <v>45483</v>
      </c>
      <c r="B1351" s="4">
        <v>2024</v>
      </c>
      <c r="C1351" s="5">
        <v>1350</v>
      </c>
      <c r="D1351" s="5">
        <v>1365</v>
      </c>
      <c r="E1351" s="5">
        <v>1345</v>
      </c>
      <c r="F1351" s="5">
        <v>1345</v>
      </c>
      <c r="G1351" s="5">
        <v>1281.21</v>
      </c>
      <c r="H1351" s="6">
        <v>25808000</v>
      </c>
      <c r="I1351" s="22" t="str">
        <f t="shared" si="137"/>
        <v>0</v>
      </c>
      <c r="J1351" s="7">
        <f t="shared" si="138"/>
        <v>0</v>
      </c>
      <c r="K1351" s="7">
        <f t="shared" si="139"/>
        <v>-35.208686374191927</v>
      </c>
      <c r="L1351" s="2" t="str">
        <f t="shared" si="134"/>
        <v>Normal</v>
      </c>
      <c r="M1351" s="2" t="str">
        <f t="shared" si="135"/>
        <v>Normal</v>
      </c>
      <c r="N1351" s="2" t="str">
        <f t="shared" si="136"/>
        <v>No</v>
      </c>
    </row>
    <row r="1352" spans="1:14" x14ac:dyDescent="0.25">
      <c r="A1352" s="3">
        <v>45484</v>
      </c>
      <c r="B1352" s="4">
        <v>2024</v>
      </c>
      <c r="C1352" s="5">
        <v>1345</v>
      </c>
      <c r="D1352" s="5">
        <v>1365</v>
      </c>
      <c r="E1352" s="5">
        <v>1320</v>
      </c>
      <c r="F1352" s="5">
        <v>1360</v>
      </c>
      <c r="G1352" s="5">
        <v>1295.5</v>
      </c>
      <c r="H1352" s="6">
        <v>36563500</v>
      </c>
      <c r="I1352" s="22" t="str">
        <f t="shared" si="137"/>
        <v>+</v>
      </c>
      <c r="J1352" s="7">
        <f t="shared" si="138"/>
        <v>1.1152416356877324</v>
      </c>
      <c r="K1352" s="7">
        <f t="shared" si="139"/>
        <v>41.67506199628022</v>
      </c>
      <c r="L1352" s="2" t="str">
        <f t="shared" si="134"/>
        <v>Normal</v>
      </c>
      <c r="M1352" s="2" t="str">
        <f t="shared" si="135"/>
        <v>Normal</v>
      </c>
      <c r="N1352" s="2" t="str">
        <f t="shared" si="136"/>
        <v>No</v>
      </c>
    </row>
    <row r="1353" spans="1:14" x14ac:dyDescent="0.25">
      <c r="A1353" s="3">
        <v>45485</v>
      </c>
      <c r="B1353" s="4">
        <v>2024</v>
      </c>
      <c r="C1353" s="5">
        <v>1365</v>
      </c>
      <c r="D1353" s="5">
        <v>1380</v>
      </c>
      <c r="E1353" s="5">
        <v>1350</v>
      </c>
      <c r="F1353" s="5">
        <v>1360</v>
      </c>
      <c r="G1353" s="5">
        <v>1295.5</v>
      </c>
      <c r="H1353" s="6">
        <v>34695000</v>
      </c>
      <c r="I1353" s="22" t="str">
        <f t="shared" si="137"/>
        <v>0</v>
      </c>
      <c r="J1353" s="7">
        <f t="shared" si="138"/>
        <v>0</v>
      </c>
      <c r="K1353" s="7">
        <f t="shared" si="139"/>
        <v>-5.1102875818781026</v>
      </c>
      <c r="L1353" s="2" t="str">
        <f t="shared" si="134"/>
        <v>Normal</v>
      </c>
      <c r="M1353" s="2" t="str">
        <f t="shared" si="135"/>
        <v>Normal</v>
      </c>
      <c r="N1353" s="2" t="str">
        <f t="shared" si="136"/>
        <v>No</v>
      </c>
    </row>
    <row r="1354" spans="1:14" x14ac:dyDescent="0.25">
      <c r="A1354" s="3">
        <v>45488</v>
      </c>
      <c r="B1354" s="4">
        <v>2024</v>
      </c>
      <c r="C1354" s="5">
        <v>1360</v>
      </c>
      <c r="D1354" s="5">
        <v>1370</v>
      </c>
      <c r="E1354" s="5">
        <v>1330</v>
      </c>
      <c r="F1354" s="5">
        <v>1350</v>
      </c>
      <c r="G1354" s="5">
        <v>1285.97</v>
      </c>
      <c r="H1354" s="6">
        <v>27711000</v>
      </c>
      <c r="I1354" s="22" t="str">
        <f t="shared" si="137"/>
        <v>-</v>
      </c>
      <c r="J1354" s="7">
        <f t="shared" si="138"/>
        <v>-0.73529411764705876</v>
      </c>
      <c r="K1354" s="7">
        <f t="shared" si="139"/>
        <v>-20.129701686121919</v>
      </c>
      <c r="L1354" s="2" t="str">
        <f t="shared" si="134"/>
        <v>Normal</v>
      </c>
      <c r="M1354" s="2" t="str">
        <f t="shared" si="135"/>
        <v>Normal</v>
      </c>
      <c r="N1354" s="2" t="str">
        <f t="shared" si="136"/>
        <v>No</v>
      </c>
    </row>
    <row r="1355" spans="1:14" x14ac:dyDescent="0.25">
      <c r="A1355" s="3">
        <v>45489</v>
      </c>
      <c r="B1355" s="4">
        <v>2024</v>
      </c>
      <c r="C1355" s="5">
        <v>1350</v>
      </c>
      <c r="D1355" s="5">
        <v>1365</v>
      </c>
      <c r="E1355" s="5">
        <v>1335</v>
      </c>
      <c r="F1355" s="5">
        <v>1340</v>
      </c>
      <c r="G1355" s="5">
        <v>1276.45</v>
      </c>
      <c r="H1355" s="6">
        <v>30321900</v>
      </c>
      <c r="I1355" s="22" t="str">
        <f t="shared" si="137"/>
        <v>-</v>
      </c>
      <c r="J1355" s="7">
        <f t="shared" si="138"/>
        <v>-0.74074074074074081</v>
      </c>
      <c r="K1355" s="7">
        <f t="shared" si="139"/>
        <v>9.4218902240987337</v>
      </c>
      <c r="L1355" s="2" t="str">
        <f t="shared" si="134"/>
        <v>Normal</v>
      </c>
      <c r="M1355" s="2" t="str">
        <f t="shared" si="135"/>
        <v>Normal</v>
      </c>
      <c r="N1355" s="2" t="str">
        <f t="shared" si="136"/>
        <v>No</v>
      </c>
    </row>
    <row r="1356" spans="1:14" x14ac:dyDescent="0.25">
      <c r="A1356" s="3">
        <v>45490</v>
      </c>
      <c r="B1356" s="4">
        <v>2024</v>
      </c>
      <c r="C1356" s="5">
        <v>1360</v>
      </c>
      <c r="D1356" s="5">
        <v>1395</v>
      </c>
      <c r="E1356" s="5">
        <v>1355</v>
      </c>
      <c r="F1356" s="5">
        <v>1380</v>
      </c>
      <c r="G1356" s="5">
        <v>1314.55</v>
      </c>
      <c r="H1356" s="6">
        <v>65083200</v>
      </c>
      <c r="I1356" s="22" t="str">
        <f t="shared" si="137"/>
        <v>+</v>
      </c>
      <c r="J1356" s="7">
        <f t="shared" si="138"/>
        <v>2.9850746268656714</v>
      </c>
      <c r="K1356" s="7">
        <f t="shared" si="139"/>
        <v>114.64090310963364</v>
      </c>
      <c r="L1356" s="2" t="str">
        <f t="shared" si="134"/>
        <v>Normal</v>
      </c>
      <c r="M1356" s="2" t="str">
        <f t="shared" si="135"/>
        <v>Normal</v>
      </c>
      <c r="N1356" s="2" t="str">
        <f t="shared" si="136"/>
        <v>No</v>
      </c>
    </row>
    <row r="1357" spans="1:14" x14ac:dyDescent="0.25">
      <c r="A1357" s="3">
        <v>45491</v>
      </c>
      <c r="B1357" s="4">
        <v>2024</v>
      </c>
      <c r="C1357" s="5">
        <v>1395</v>
      </c>
      <c r="D1357" s="5">
        <v>1405</v>
      </c>
      <c r="E1357" s="5">
        <v>1375</v>
      </c>
      <c r="F1357" s="5">
        <v>1375</v>
      </c>
      <c r="G1357" s="5">
        <v>1309.79</v>
      </c>
      <c r="H1357" s="6">
        <v>53937000</v>
      </c>
      <c r="I1357" s="22" t="str">
        <f t="shared" si="137"/>
        <v>-</v>
      </c>
      <c r="J1357" s="7">
        <f t="shared" si="138"/>
        <v>-0.36231884057971014</v>
      </c>
      <c r="K1357" s="7">
        <f t="shared" si="139"/>
        <v>-17.12607861936721</v>
      </c>
      <c r="L1357" s="2" t="str">
        <f t="shared" si="134"/>
        <v>Normal</v>
      </c>
      <c r="M1357" s="2" t="str">
        <f t="shared" si="135"/>
        <v>Normal</v>
      </c>
      <c r="N1357" s="2" t="str">
        <f t="shared" si="136"/>
        <v>No</v>
      </c>
    </row>
    <row r="1358" spans="1:14" x14ac:dyDescent="0.25">
      <c r="A1358" s="3">
        <v>45492</v>
      </c>
      <c r="B1358" s="4">
        <v>2024</v>
      </c>
      <c r="C1358" s="5">
        <v>1375</v>
      </c>
      <c r="D1358" s="5">
        <v>1380</v>
      </c>
      <c r="E1358" s="5">
        <v>1330</v>
      </c>
      <c r="F1358" s="5">
        <v>1350</v>
      </c>
      <c r="G1358" s="5">
        <v>1285.97</v>
      </c>
      <c r="H1358" s="6">
        <v>60206400</v>
      </c>
      <c r="I1358" s="22" t="str">
        <f t="shared" si="137"/>
        <v>-</v>
      </c>
      <c r="J1358" s="7">
        <f t="shared" si="138"/>
        <v>-1.8181818181818181</v>
      </c>
      <c r="K1358" s="7">
        <f t="shared" si="139"/>
        <v>11.623560820957785</v>
      </c>
      <c r="L1358" s="2" t="str">
        <f t="shared" si="134"/>
        <v>Normal</v>
      </c>
      <c r="M1358" s="2" t="str">
        <f t="shared" si="135"/>
        <v>Normal</v>
      </c>
      <c r="N1358" s="2" t="str">
        <f t="shared" si="136"/>
        <v>No</v>
      </c>
    </row>
    <row r="1359" spans="1:14" x14ac:dyDescent="0.25">
      <c r="A1359" s="3">
        <v>45495</v>
      </c>
      <c r="B1359" s="4">
        <v>2024</v>
      </c>
      <c r="C1359" s="5">
        <v>1350</v>
      </c>
      <c r="D1359" s="5">
        <v>1360</v>
      </c>
      <c r="E1359" s="5">
        <v>1330</v>
      </c>
      <c r="F1359" s="5">
        <v>1340</v>
      </c>
      <c r="G1359" s="5">
        <v>1276.45</v>
      </c>
      <c r="H1359" s="6">
        <v>35890600</v>
      </c>
      <c r="I1359" s="22" t="str">
        <f t="shared" si="137"/>
        <v>-</v>
      </c>
      <c r="J1359" s="7">
        <f t="shared" si="138"/>
        <v>-0.74074074074074081</v>
      </c>
      <c r="K1359" s="7">
        <f t="shared" si="139"/>
        <v>-40.387400675011293</v>
      </c>
      <c r="L1359" s="2" t="str">
        <f t="shared" si="134"/>
        <v>Normal</v>
      </c>
      <c r="M1359" s="2" t="str">
        <f t="shared" si="135"/>
        <v>Normal</v>
      </c>
      <c r="N1359" s="2" t="str">
        <f t="shared" si="136"/>
        <v>No</v>
      </c>
    </row>
    <row r="1360" spans="1:14" x14ac:dyDescent="0.25">
      <c r="A1360" s="3">
        <v>45496</v>
      </c>
      <c r="B1360" s="4">
        <v>2024</v>
      </c>
      <c r="C1360" s="5">
        <v>1340</v>
      </c>
      <c r="D1360" s="5">
        <v>1350</v>
      </c>
      <c r="E1360" s="5">
        <v>1305</v>
      </c>
      <c r="F1360" s="5">
        <v>1315</v>
      </c>
      <c r="G1360" s="5">
        <v>1252.6300000000001</v>
      </c>
      <c r="H1360" s="6">
        <v>48954700</v>
      </c>
      <c r="I1360" s="22" t="str">
        <f t="shared" si="137"/>
        <v>-</v>
      </c>
      <c r="J1360" s="7">
        <f t="shared" si="138"/>
        <v>-1.8656716417910446</v>
      </c>
      <c r="K1360" s="7">
        <f t="shared" si="139"/>
        <v>36.399781558402481</v>
      </c>
      <c r="L1360" s="2" t="str">
        <f t="shared" si="134"/>
        <v>Normal</v>
      </c>
      <c r="M1360" s="2" t="str">
        <f t="shared" si="135"/>
        <v>Normal</v>
      </c>
      <c r="N1360" s="2" t="str">
        <f t="shared" si="136"/>
        <v>No</v>
      </c>
    </row>
    <row r="1361" spans="1:14" x14ac:dyDescent="0.25">
      <c r="A1361" s="3">
        <v>45497</v>
      </c>
      <c r="B1361" s="4">
        <v>2024</v>
      </c>
      <c r="C1361" s="5">
        <v>1315</v>
      </c>
      <c r="D1361" s="5">
        <v>1325</v>
      </c>
      <c r="E1361" s="5">
        <v>1305</v>
      </c>
      <c r="F1361" s="5">
        <v>1310</v>
      </c>
      <c r="G1361" s="5">
        <v>1247.8699999999999</v>
      </c>
      <c r="H1361" s="6">
        <v>28205300</v>
      </c>
      <c r="I1361" s="22" t="str">
        <f t="shared" si="137"/>
        <v>-</v>
      </c>
      <c r="J1361" s="7">
        <f t="shared" si="138"/>
        <v>-0.38022813688212925</v>
      </c>
      <c r="K1361" s="7">
        <f t="shared" si="139"/>
        <v>-42.384898692056126</v>
      </c>
      <c r="L1361" s="2" t="str">
        <f t="shared" si="134"/>
        <v>Normal</v>
      </c>
      <c r="M1361" s="2" t="str">
        <f t="shared" si="135"/>
        <v>Normal</v>
      </c>
      <c r="N1361" s="2" t="str">
        <f t="shared" si="136"/>
        <v>No</v>
      </c>
    </row>
    <row r="1362" spans="1:14" x14ac:dyDescent="0.25">
      <c r="A1362" s="3">
        <v>45498</v>
      </c>
      <c r="B1362" s="4">
        <v>2024</v>
      </c>
      <c r="C1362" s="5">
        <v>1305</v>
      </c>
      <c r="D1362" s="5">
        <v>1310</v>
      </c>
      <c r="E1362" s="5">
        <v>1275</v>
      </c>
      <c r="F1362" s="5">
        <v>1280</v>
      </c>
      <c r="G1362" s="5">
        <v>1219.29</v>
      </c>
      <c r="H1362" s="6">
        <v>44789300</v>
      </c>
      <c r="I1362" s="22" t="str">
        <f t="shared" si="137"/>
        <v>-</v>
      </c>
      <c r="J1362" s="7">
        <f t="shared" si="138"/>
        <v>-2.2900763358778624</v>
      </c>
      <c r="K1362" s="7">
        <f t="shared" si="139"/>
        <v>58.797460051834229</v>
      </c>
      <c r="L1362" s="2" t="str">
        <f t="shared" si="134"/>
        <v>Normal</v>
      </c>
      <c r="M1362" s="2" t="str">
        <f t="shared" si="135"/>
        <v>Normal</v>
      </c>
      <c r="N1362" s="2" t="str">
        <f t="shared" si="136"/>
        <v>No</v>
      </c>
    </row>
    <row r="1363" spans="1:14" x14ac:dyDescent="0.25">
      <c r="A1363" s="3">
        <v>45499</v>
      </c>
      <c r="B1363" s="4">
        <v>2024</v>
      </c>
      <c r="C1363" s="5">
        <v>1285</v>
      </c>
      <c r="D1363" s="5">
        <v>1300</v>
      </c>
      <c r="E1363" s="5">
        <v>1280</v>
      </c>
      <c r="F1363" s="5">
        <v>1295</v>
      </c>
      <c r="G1363" s="5">
        <v>1233.58</v>
      </c>
      <c r="H1363" s="6">
        <v>33791400</v>
      </c>
      <c r="I1363" s="22" t="str">
        <f t="shared" si="137"/>
        <v>+</v>
      </c>
      <c r="J1363" s="7">
        <f t="shared" si="138"/>
        <v>1.171875</v>
      </c>
      <c r="K1363" s="7">
        <f t="shared" si="139"/>
        <v>-24.554748567180106</v>
      </c>
      <c r="L1363" s="2" t="str">
        <f t="shared" si="134"/>
        <v>Normal</v>
      </c>
      <c r="M1363" s="2" t="str">
        <f t="shared" si="135"/>
        <v>Normal</v>
      </c>
      <c r="N1363" s="2" t="str">
        <f t="shared" si="136"/>
        <v>No</v>
      </c>
    </row>
    <row r="1364" spans="1:14" x14ac:dyDescent="0.25">
      <c r="A1364" s="3">
        <v>45502</v>
      </c>
      <c r="B1364" s="4">
        <v>2024</v>
      </c>
      <c r="C1364" s="5">
        <v>1325</v>
      </c>
      <c r="D1364" s="5">
        <v>1350</v>
      </c>
      <c r="E1364" s="5">
        <v>1310</v>
      </c>
      <c r="F1364" s="5">
        <v>1310</v>
      </c>
      <c r="G1364" s="5">
        <v>1247.8699999999999</v>
      </c>
      <c r="H1364" s="6">
        <v>62519500</v>
      </c>
      <c r="I1364" s="22" t="str">
        <f t="shared" si="137"/>
        <v>+</v>
      </c>
      <c r="J1364" s="7">
        <f t="shared" si="138"/>
        <v>1.1583011583011582</v>
      </c>
      <c r="K1364" s="7">
        <f t="shared" si="139"/>
        <v>85.016009990707701</v>
      </c>
      <c r="L1364" s="2" t="str">
        <f t="shared" si="134"/>
        <v>Normal</v>
      </c>
      <c r="M1364" s="2" t="str">
        <f t="shared" si="135"/>
        <v>Normal</v>
      </c>
      <c r="N1364" s="2" t="str">
        <f t="shared" si="136"/>
        <v>No</v>
      </c>
    </row>
    <row r="1365" spans="1:14" x14ac:dyDescent="0.25">
      <c r="A1365" s="3">
        <v>45503</v>
      </c>
      <c r="B1365" s="4">
        <v>2024</v>
      </c>
      <c r="C1365" s="5">
        <v>1320</v>
      </c>
      <c r="D1365" s="5">
        <v>1330</v>
      </c>
      <c r="E1365" s="5">
        <v>1300</v>
      </c>
      <c r="F1365" s="5">
        <v>1300</v>
      </c>
      <c r="G1365" s="5">
        <v>1238.3399999999999</v>
      </c>
      <c r="H1365" s="6">
        <v>30531700</v>
      </c>
      <c r="I1365" s="22" t="str">
        <f t="shared" si="137"/>
        <v>-</v>
      </c>
      <c r="J1365" s="7">
        <f t="shared" si="138"/>
        <v>-0.76335877862595414</v>
      </c>
      <c r="K1365" s="7">
        <f t="shared" si="139"/>
        <v>-51.164516670798712</v>
      </c>
      <c r="L1365" s="2" t="str">
        <f t="shared" si="134"/>
        <v>Normal</v>
      </c>
      <c r="M1365" s="2" t="str">
        <f t="shared" si="135"/>
        <v>Normal</v>
      </c>
      <c r="N1365" s="2" t="str">
        <f t="shared" si="136"/>
        <v>No</v>
      </c>
    </row>
    <row r="1366" spans="1:14" x14ac:dyDescent="0.25">
      <c r="A1366" s="3">
        <v>45504</v>
      </c>
      <c r="B1366" s="4">
        <v>2024</v>
      </c>
      <c r="C1366" s="5">
        <v>1310</v>
      </c>
      <c r="D1366" s="5">
        <v>1325</v>
      </c>
      <c r="E1366" s="5">
        <v>1305</v>
      </c>
      <c r="F1366" s="5">
        <v>1315</v>
      </c>
      <c r="G1366" s="5">
        <v>1252.6300000000001</v>
      </c>
      <c r="H1366" s="6">
        <v>34840100</v>
      </c>
      <c r="I1366" s="22" t="str">
        <f t="shared" si="137"/>
        <v>+</v>
      </c>
      <c r="J1366" s="7">
        <f t="shared" si="138"/>
        <v>1.153846153846154</v>
      </c>
      <c r="K1366" s="7">
        <f t="shared" si="139"/>
        <v>14.111235207996934</v>
      </c>
      <c r="L1366" s="2" t="str">
        <f t="shared" si="134"/>
        <v>Normal</v>
      </c>
      <c r="M1366" s="2" t="str">
        <f t="shared" si="135"/>
        <v>Normal</v>
      </c>
      <c r="N1366" s="2" t="str">
        <f t="shared" si="136"/>
        <v>No</v>
      </c>
    </row>
    <row r="1367" spans="1:14" x14ac:dyDescent="0.25">
      <c r="A1367" s="3">
        <v>45505</v>
      </c>
      <c r="B1367" s="4">
        <v>2024</v>
      </c>
      <c r="C1367" s="5">
        <v>1340</v>
      </c>
      <c r="D1367" s="5">
        <v>1355</v>
      </c>
      <c r="E1367" s="5">
        <v>1325</v>
      </c>
      <c r="F1367" s="5">
        <v>1345</v>
      </c>
      <c r="G1367" s="5">
        <v>1281.21</v>
      </c>
      <c r="H1367" s="6">
        <v>54534700</v>
      </c>
      <c r="I1367" s="22" t="str">
        <f t="shared" si="137"/>
        <v>+</v>
      </c>
      <c r="J1367" s="7">
        <f t="shared" si="138"/>
        <v>2.2813688212927756</v>
      </c>
      <c r="K1367" s="7">
        <f t="shared" si="139"/>
        <v>56.528540388804849</v>
      </c>
      <c r="L1367" s="2" t="str">
        <f t="shared" si="134"/>
        <v>Normal</v>
      </c>
      <c r="M1367" s="2" t="str">
        <f t="shared" si="135"/>
        <v>Normal</v>
      </c>
      <c r="N1367" s="2" t="str">
        <f t="shared" si="136"/>
        <v>No</v>
      </c>
    </row>
    <row r="1368" spans="1:14" x14ac:dyDescent="0.25">
      <c r="A1368" s="3">
        <v>45506</v>
      </c>
      <c r="B1368" s="4">
        <v>2024</v>
      </c>
      <c r="C1368" s="5">
        <v>1335</v>
      </c>
      <c r="D1368" s="5">
        <v>1350</v>
      </c>
      <c r="E1368" s="5">
        <v>1320</v>
      </c>
      <c r="F1368" s="5">
        <v>1345</v>
      </c>
      <c r="G1368" s="5">
        <v>1281.21</v>
      </c>
      <c r="H1368" s="6">
        <v>32243400</v>
      </c>
      <c r="I1368" s="22" t="str">
        <f t="shared" si="137"/>
        <v>0</v>
      </c>
      <c r="J1368" s="7">
        <f t="shared" si="138"/>
        <v>0</v>
      </c>
      <c r="K1368" s="7">
        <f t="shared" si="139"/>
        <v>-40.875442608100897</v>
      </c>
      <c r="L1368" s="2" t="str">
        <f t="shared" si="134"/>
        <v>Normal</v>
      </c>
      <c r="M1368" s="2" t="str">
        <f t="shared" si="135"/>
        <v>Normal</v>
      </c>
      <c r="N1368" s="2" t="str">
        <f t="shared" si="136"/>
        <v>No</v>
      </c>
    </row>
    <row r="1369" spans="1:14" x14ac:dyDescent="0.25">
      <c r="A1369" s="3">
        <v>45509</v>
      </c>
      <c r="B1369" s="4">
        <v>2024</v>
      </c>
      <c r="C1369" s="5">
        <v>1330</v>
      </c>
      <c r="D1369" s="5">
        <v>1330</v>
      </c>
      <c r="E1369" s="5">
        <v>1265</v>
      </c>
      <c r="F1369" s="5">
        <v>1285</v>
      </c>
      <c r="G1369" s="5">
        <v>1224.05</v>
      </c>
      <c r="H1369" s="6">
        <v>65319000</v>
      </c>
      <c r="I1369" s="22" t="str">
        <f t="shared" si="137"/>
        <v>-</v>
      </c>
      <c r="J1369" s="7">
        <f t="shared" si="138"/>
        <v>-4.4609665427509295</v>
      </c>
      <c r="K1369" s="7">
        <f t="shared" si="139"/>
        <v>102.58099331956308</v>
      </c>
      <c r="L1369" s="2" t="str">
        <f t="shared" si="134"/>
        <v>Sharp Price Decrease</v>
      </c>
      <c r="M1369" s="2" t="str">
        <f t="shared" si="135"/>
        <v>Normal</v>
      </c>
      <c r="N1369" s="2" t="str">
        <f t="shared" si="136"/>
        <v>No</v>
      </c>
    </row>
    <row r="1370" spans="1:14" x14ac:dyDescent="0.25">
      <c r="A1370" s="3">
        <v>45510</v>
      </c>
      <c r="B1370" s="4">
        <v>2024</v>
      </c>
      <c r="C1370" s="5">
        <v>1290</v>
      </c>
      <c r="D1370" s="5">
        <v>1305</v>
      </c>
      <c r="E1370" s="5">
        <v>1280</v>
      </c>
      <c r="F1370" s="5">
        <v>1295</v>
      </c>
      <c r="G1370" s="5">
        <v>1233.58</v>
      </c>
      <c r="H1370" s="6">
        <v>27910200</v>
      </c>
      <c r="I1370" s="22" t="str">
        <f t="shared" si="137"/>
        <v>+</v>
      </c>
      <c r="J1370" s="7">
        <f t="shared" si="138"/>
        <v>0.77821011673151752</v>
      </c>
      <c r="K1370" s="7">
        <f t="shared" si="139"/>
        <v>-57.270931888118312</v>
      </c>
      <c r="L1370" s="2" t="str">
        <f t="shared" si="134"/>
        <v>Normal</v>
      </c>
      <c r="M1370" s="2" t="str">
        <f t="shared" si="135"/>
        <v>Sharp Volume Decrease</v>
      </c>
      <c r="N1370" s="2" t="str">
        <f t="shared" si="136"/>
        <v>No</v>
      </c>
    </row>
    <row r="1371" spans="1:14" x14ac:dyDescent="0.25">
      <c r="A1371" s="3">
        <v>45511</v>
      </c>
      <c r="B1371" s="4">
        <v>2024</v>
      </c>
      <c r="C1371" s="5">
        <v>1295</v>
      </c>
      <c r="D1371" s="5">
        <v>1315</v>
      </c>
      <c r="E1371" s="5">
        <v>1295</v>
      </c>
      <c r="F1371" s="5">
        <v>1295</v>
      </c>
      <c r="G1371" s="5">
        <v>1233.58</v>
      </c>
      <c r="H1371" s="6">
        <v>20663100</v>
      </c>
      <c r="I1371" s="22" t="str">
        <f t="shared" si="137"/>
        <v>0</v>
      </c>
      <c r="J1371" s="7">
        <f t="shared" si="138"/>
        <v>0</v>
      </c>
      <c r="K1371" s="7">
        <f t="shared" si="139"/>
        <v>-25.96577595287744</v>
      </c>
      <c r="L1371" s="2" t="str">
        <f t="shared" si="134"/>
        <v>Normal</v>
      </c>
      <c r="M1371" s="2" t="str">
        <f t="shared" si="135"/>
        <v>Normal</v>
      </c>
      <c r="N1371" s="2" t="str">
        <f t="shared" si="136"/>
        <v>No</v>
      </c>
    </row>
    <row r="1372" spans="1:14" x14ac:dyDescent="0.25">
      <c r="A1372" s="3">
        <v>45512</v>
      </c>
      <c r="B1372" s="4">
        <v>2024</v>
      </c>
      <c r="C1372" s="5">
        <v>1295</v>
      </c>
      <c r="D1372" s="5">
        <v>1300</v>
      </c>
      <c r="E1372" s="5">
        <v>1270</v>
      </c>
      <c r="F1372" s="5">
        <v>1270</v>
      </c>
      <c r="G1372" s="5">
        <v>1209.77</v>
      </c>
      <c r="H1372" s="6">
        <v>46868600</v>
      </c>
      <c r="I1372" s="22" t="str">
        <f t="shared" si="137"/>
        <v>-</v>
      </c>
      <c r="J1372" s="7">
        <f t="shared" si="138"/>
        <v>-1.9305019305019304</v>
      </c>
      <c r="K1372" s="7">
        <f t="shared" si="139"/>
        <v>126.82269359389441</v>
      </c>
      <c r="L1372" s="2" t="str">
        <f t="shared" si="134"/>
        <v>Normal</v>
      </c>
      <c r="M1372" s="2" t="str">
        <f t="shared" si="135"/>
        <v>Normal</v>
      </c>
      <c r="N1372" s="2" t="str">
        <f t="shared" si="136"/>
        <v>No</v>
      </c>
    </row>
    <row r="1373" spans="1:14" x14ac:dyDescent="0.25">
      <c r="A1373" s="3">
        <v>45513</v>
      </c>
      <c r="B1373" s="4">
        <v>2024</v>
      </c>
      <c r="C1373" s="5">
        <v>1285</v>
      </c>
      <c r="D1373" s="5">
        <v>1300</v>
      </c>
      <c r="E1373" s="5">
        <v>1280</v>
      </c>
      <c r="F1373" s="5">
        <v>1285</v>
      </c>
      <c r="G1373" s="5">
        <v>1224.05</v>
      </c>
      <c r="H1373" s="6">
        <v>26308700</v>
      </c>
      <c r="I1373" s="22" t="str">
        <f t="shared" si="137"/>
        <v>+</v>
      </c>
      <c r="J1373" s="7">
        <f t="shared" si="138"/>
        <v>1.1811023622047243</v>
      </c>
      <c r="K1373" s="7">
        <f t="shared" si="139"/>
        <v>-43.867109322659523</v>
      </c>
      <c r="L1373" s="2" t="str">
        <f t="shared" si="134"/>
        <v>Normal</v>
      </c>
      <c r="M1373" s="2" t="str">
        <f t="shared" si="135"/>
        <v>Normal</v>
      </c>
      <c r="N1373" s="2" t="str">
        <f t="shared" si="136"/>
        <v>No</v>
      </c>
    </row>
    <row r="1374" spans="1:14" x14ac:dyDescent="0.25">
      <c r="A1374" s="3">
        <v>45516</v>
      </c>
      <c r="B1374" s="4">
        <v>2024</v>
      </c>
      <c r="C1374" s="5">
        <v>1290</v>
      </c>
      <c r="D1374" s="5">
        <v>1310</v>
      </c>
      <c r="E1374" s="5">
        <v>1290</v>
      </c>
      <c r="F1374" s="5">
        <v>1310</v>
      </c>
      <c r="G1374" s="5">
        <v>1247.8699999999999</v>
      </c>
      <c r="H1374" s="6">
        <v>38054700</v>
      </c>
      <c r="I1374" s="22" t="str">
        <f t="shared" si="137"/>
        <v>+</v>
      </c>
      <c r="J1374" s="7">
        <f t="shared" si="138"/>
        <v>1.9455252918287937</v>
      </c>
      <c r="K1374" s="7">
        <f t="shared" si="139"/>
        <v>44.646827855424256</v>
      </c>
      <c r="L1374" s="2" t="str">
        <f t="shared" si="134"/>
        <v>Normal</v>
      </c>
      <c r="M1374" s="2" t="str">
        <f t="shared" si="135"/>
        <v>Normal</v>
      </c>
      <c r="N1374" s="2" t="str">
        <f t="shared" si="136"/>
        <v>No</v>
      </c>
    </row>
    <row r="1375" spans="1:14" x14ac:dyDescent="0.25">
      <c r="A1375" s="3">
        <v>45517</v>
      </c>
      <c r="B1375" s="4">
        <v>2024</v>
      </c>
      <c r="C1375" s="5">
        <v>1320</v>
      </c>
      <c r="D1375" s="5">
        <v>1330</v>
      </c>
      <c r="E1375" s="5">
        <v>1280</v>
      </c>
      <c r="F1375" s="5">
        <v>1310</v>
      </c>
      <c r="G1375" s="5">
        <v>1247.8699999999999</v>
      </c>
      <c r="H1375" s="6">
        <v>109937300</v>
      </c>
      <c r="I1375" s="22" t="str">
        <f t="shared" si="137"/>
        <v>0</v>
      </c>
      <c r="J1375" s="7">
        <f t="shared" si="138"/>
        <v>0</v>
      </c>
      <c r="K1375" s="7">
        <f t="shared" si="139"/>
        <v>188.89283058334451</v>
      </c>
      <c r="L1375" s="2" t="str">
        <f t="shared" si="134"/>
        <v>Normal</v>
      </c>
      <c r="M1375" s="2" t="str">
        <f t="shared" si="135"/>
        <v>Sharp Volume Increase</v>
      </c>
      <c r="N1375" s="2" t="str">
        <f t="shared" si="136"/>
        <v>No</v>
      </c>
    </row>
    <row r="1376" spans="1:14" x14ac:dyDescent="0.25">
      <c r="A1376" s="3">
        <v>45518</v>
      </c>
      <c r="B1376" s="4">
        <v>2024</v>
      </c>
      <c r="C1376" s="5">
        <v>1310</v>
      </c>
      <c r="D1376" s="5">
        <v>1320</v>
      </c>
      <c r="E1376" s="5">
        <v>1290</v>
      </c>
      <c r="F1376" s="5">
        <v>1305</v>
      </c>
      <c r="G1376" s="5">
        <v>1243.1099999999999</v>
      </c>
      <c r="H1376" s="6">
        <v>46923100</v>
      </c>
      <c r="I1376" s="22" t="str">
        <f t="shared" si="137"/>
        <v>-</v>
      </c>
      <c r="J1376" s="7">
        <f t="shared" si="138"/>
        <v>-0.38167938931297707</v>
      </c>
      <c r="K1376" s="7">
        <f t="shared" si="139"/>
        <v>-57.318307799081836</v>
      </c>
      <c r="L1376" s="2" t="str">
        <f t="shared" si="134"/>
        <v>Normal</v>
      </c>
      <c r="M1376" s="2" t="str">
        <f t="shared" si="135"/>
        <v>Sharp Volume Decrease</v>
      </c>
      <c r="N1376" s="2" t="str">
        <f t="shared" si="136"/>
        <v>No</v>
      </c>
    </row>
    <row r="1377" spans="1:14" x14ac:dyDescent="0.25">
      <c r="A1377" s="3">
        <v>45519</v>
      </c>
      <c r="B1377" s="4">
        <v>2024</v>
      </c>
      <c r="C1377" s="5">
        <v>1310</v>
      </c>
      <c r="D1377" s="5">
        <v>1390</v>
      </c>
      <c r="E1377" s="5">
        <v>1305</v>
      </c>
      <c r="F1377" s="5">
        <v>1385</v>
      </c>
      <c r="G1377" s="5">
        <v>1319.31</v>
      </c>
      <c r="H1377" s="6">
        <v>177044200</v>
      </c>
      <c r="I1377" s="22" t="str">
        <f t="shared" si="137"/>
        <v>+</v>
      </c>
      <c r="J1377" s="7">
        <f t="shared" si="138"/>
        <v>6.1302681992337158</v>
      </c>
      <c r="K1377" s="7">
        <f t="shared" si="139"/>
        <v>277.30712591452823</v>
      </c>
      <c r="L1377" s="2" t="str">
        <f t="shared" si="134"/>
        <v>Sharp Price Increase</v>
      </c>
      <c r="M1377" s="2" t="str">
        <f t="shared" si="135"/>
        <v>Sharp Volume Increase</v>
      </c>
      <c r="N1377" s="2" t="str">
        <f t="shared" si="136"/>
        <v>Yes</v>
      </c>
    </row>
    <row r="1378" spans="1:14" x14ac:dyDescent="0.25">
      <c r="A1378" s="3">
        <v>45520</v>
      </c>
      <c r="B1378" s="4">
        <v>2024</v>
      </c>
      <c r="C1378" s="5">
        <v>1405</v>
      </c>
      <c r="D1378" s="5">
        <v>1510</v>
      </c>
      <c r="E1378" s="5">
        <v>1400</v>
      </c>
      <c r="F1378" s="5">
        <v>1460</v>
      </c>
      <c r="G1378" s="5">
        <v>1390.75</v>
      </c>
      <c r="H1378" s="6">
        <v>377536100</v>
      </c>
      <c r="I1378" s="22" t="str">
        <f t="shared" si="137"/>
        <v>+</v>
      </c>
      <c r="J1378" s="7">
        <f t="shared" si="138"/>
        <v>5.4151624548736459</v>
      </c>
      <c r="K1378" s="7">
        <f t="shared" si="139"/>
        <v>113.24398088161036</v>
      </c>
      <c r="L1378" s="2" t="str">
        <f t="shared" si="134"/>
        <v>Sharp Price Increase</v>
      </c>
      <c r="M1378" s="2" t="str">
        <f t="shared" si="135"/>
        <v>Normal</v>
      </c>
      <c r="N1378" s="2" t="str">
        <f t="shared" si="136"/>
        <v>No</v>
      </c>
    </row>
    <row r="1379" spans="1:14" x14ac:dyDescent="0.25">
      <c r="A1379" s="3">
        <v>45523</v>
      </c>
      <c r="B1379" s="4">
        <v>2024</v>
      </c>
      <c r="C1379" s="5">
        <v>1475</v>
      </c>
      <c r="D1379" s="5">
        <v>1510</v>
      </c>
      <c r="E1379" s="5">
        <v>1460</v>
      </c>
      <c r="F1379" s="5">
        <v>1470</v>
      </c>
      <c r="G1379" s="5">
        <v>1400.28</v>
      </c>
      <c r="H1379" s="6">
        <v>179600100</v>
      </c>
      <c r="I1379" s="22" t="str">
        <f t="shared" si="137"/>
        <v>+</v>
      </c>
      <c r="J1379" s="7">
        <f t="shared" si="138"/>
        <v>0.68493150684931503</v>
      </c>
      <c r="K1379" s="7">
        <f t="shared" si="139"/>
        <v>-52.428363804150123</v>
      </c>
      <c r="L1379" s="2" t="str">
        <f t="shared" si="134"/>
        <v>Normal</v>
      </c>
      <c r="M1379" s="2" t="str">
        <f t="shared" si="135"/>
        <v>Normal</v>
      </c>
      <c r="N1379" s="2" t="str">
        <f t="shared" si="136"/>
        <v>No</v>
      </c>
    </row>
    <row r="1380" spans="1:14" x14ac:dyDescent="0.25">
      <c r="A1380" s="3">
        <v>45524</v>
      </c>
      <c r="B1380" s="4">
        <v>2024</v>
      </c>
      <c r="C1380" s="5">
        <v>1480</v>
      </c>
      <c r="D1380" s="5">
        <v>1495</v>
      </c>
      <c r="E1380" s="5">
        <v>1455</v>
      </c>
      <c r="F1380" s="5">
        <v>1475</v>
      </c>
      <c r="G1380" s="5">
        <v>1405.04</v>
      </c>
      <c r="H1380" s="6">
        <v>88428900</v>
      </c>
      <c r="I1380" s="22" t="str">
        <f t="shared" si="137"/>
        <v>+</v>
      </c>
      <c r="J1380" s="7">
        <f t="shared" si="138"/>
        <v>0.3401360544217687</v>
      </c>
      <c r="K1380" s="7">
        <f t="shared" si="139"/>
        <v>-50.763446122802826</v>
      </c>
      <c r="L1380" s="2" t="str">
        <f t="shared" si="134"/>
        <v>Normal</v>
      </c>
      <c r="M1380" s="2" t="str">
        <f t="shared" si="135"/>
        <v>Normal</v>
      </c>
      <c r="N1380" s="2" t="str">
        <f t="shared" si="136"/>
        <v>No</v>
      </c>
    </row>
    <row r="1381" spans="1:14" x14ac:dyDescent="0.25">
      <c r="A1381" s="3">
        <v>45525</v>
      </c>
      <c r="B1381" s="4">
        <v>2024</v>
      </c>
      <c r="C1381" s="5">
        <v>1485</v>
      </c>
      <c r="D1381" s="5">
        <v>1525</v>
      </c>
      <c r="E1381" s="5">
        <v>1465</v>
      </c>
      <c r="F1381" s="5">
        <v>1470</v>
      </c>
      <c r="G1381" s="5">
        <v>1400.28</v>
      </c>
      <c r="H1381" s="6">
        <v>133225200</v>
      </c>
      <c r="I1381" s="22" t="str">
        <f t="shared" si="137"/>
        <v>-</v>
      </c>
      <c r="J1381" s="7">
        <f t="shared" si="138"/>
        <v>-0.33898305084745761</v>
      </c>
      <c r="K1381" s="7">
        <f t="shared" si="139"/>
        <v>50.657986246577757</v>
      </c>
      <c r="L1381" s="2" t="str">
        <f t="shared" si="134"/>
        <v>Normal</v>
      </c>
      <c r="M1381" s="2" t="str">
        <f t="shared" si="135"/>
        <v>Normal</v>
      </c>
      <c r="N1381" s="2" t="str">
        <f t="shared" si="136"/>
        <v>No</v>
      </c>
    </row>
    <row r="1382" spans="1:14" x14ac:dyDescent="0.25">
      <c r="A1382" s="3">
        <v>45526</v>
      </c>
      <c r="B1382" s="4">
        <v>2024</v>
      </c>
      <c r="C1382" s="5">
        <v>1470</v>
      </c>
      <c r="D1382" s="5">
        <v>1475</v>
      </c>
      <c r="E1382" s="5">
        <v>1430</v>
      </c>
      <c r="F1382" s="5">
        <v>1440</v>
      </c>
      <c r="G1382" s="5">
        <v>1371.7</v>
      </c>
      <c r="H1382" s="6">
        <v>73634500</v>
      </c>
      <c r="I1382" s="22" t="str">
        <f t="shared" si="137"/>
        <v>-</v>
      </c>
      <c r="J1382" s="7">
        <f t="shared" si="138"/>
        <v>-2.0408163265306123</v>
      </c>
      <c r="K1382" s="7">
        <f t="shared" si="139"/>
        <v>-44.729300462675234</v>
      </c>
      <c r="L1382" s="2" t="str">
        <f t="shared" si="134"/>
        <v>Normal</v>
      </c>
      <c r="M1382" s="2" t="str">
        <f t="shared" si="135"/>
        <v>Normal</v>
      </c>
      <c r="N1382" s="2" t="str">
        <f t="shared" si="136"/>
        <v>No</v>
      </c>
    </row>
    <row r="1383" spans="1:14" x14ac:dyDescent="0.25">
      <c r="A1383" s="3">
        <v>45527</v>
      </c>
      <c r="B1383" s="4">
        <v>2024</v>
      </c>
      <c r="C1383" s="5">
        <v>1445</v>
      </c>
      <c r="D1383" s="5">
        <v>1465</v>
      </c>
      <c r="E1383" s="5">
        <v>1445</v>
      </c>
      <c r="F1383" s="5">
        <v>1450</v>
      </c>
      <c r="G1383" s="5">
        <v>1381.23</v>
      </c>
      <c r="H1383" s="6">
        <v>45814100</v>
      </c>
      <c r="I1383" s="22" t="str">
        <f t="shared" si="137"/>
        <v>+</v>
      </c>
      <c r="J1383" s="7">
        <f t="shared" si="138"/>
        <v>0.69444444444444442</v>
      </c>
      <c r="K1383" s="7">
        <f t="shared" si="139"/>
        <v>-37.781746328147811</v>
      </c>
      <c r="L1383" s="2" t="str">
        <f t="shared" si="134"/>
        <v>Normal</v>
      </c>
      <c r="M1383" s="2" t="str">
        <f t="shared" si="135"/>
        <v>Normal</v>
      </c>
      <c r="N1383" s="2" t="str">
        <f t="shared" si="136"/>
        <v>No</v>
      </c>
    </row>
    <row r="1384" spans="1:14" x14ac:dyDescent="0.25">
      <c r="A1384" s="3">
        <v>45530</v>
      </c>
      <c r="B1384" s="4">
        <v>2024</v>
      </c>
      <c r="C1384" s="5">
        <v>1460</v>
      </c>
      <c r="D1384" s="5">
        <v>1480</v>
      </c>
      <c r="E1384" s="5">
        <v>1450</v>
      </c>
      <c r="F1384" s="5">
        <v>1480</v>
      </c>
      <c r="G1384" s="5">
        <v>1409.81</v>
      </c>
      <c r="H1384" s="6">
        <v>75022900</v>
      </c>
      <c r="I1384" s="22" t="str">
        <f t="shared" si="137"/>
        <v>+</v>
      </c>
      <c r="J1384" s="7">
        <f t="shared" si="138"/>
        <v>2.0689655172413794</v>
      </c>
      <c r="K1384" s="7">
        <f t="shared" si="139"/>
        <v>63.755044844272831</v>
      </c>
      <c r="L1384" s="2" t="str">
        <f t="shared" si="134"/>
        <v>Normal</v>
      </c>
      <c r="M1384" s="2" t="str">
        <f t="shared" si="135"/>
        <v>Normal</v>
      </c>
      <c r="N1384" s="2" t="str">
        <f t="shared" si="136"/>
        <v>No</v>
      </c>
    </row>
    <row r="1385" spans="1:14" x14ac:dyDescent="0.25">
      <c r="A1385" s="3">
        <v>45531</v>
      </c>
      <c r="B1385" s="4">
        <v>2024</v>
      </c>
      <c r="C1385" s="5">
        <v>1480</v>
      </c>
      <c r="D1385" s="5">
        <v>1485</v>
      </c>
      <c r="E1385" s="5">
        <v>1450</v>
      </c>
      <c r="F1385" s="5">
        <v>1470</v>
      </c>
      <c r="G1385" s="5">
        <v>1400.28</v>
      </c>
      <c r="H1385" s="6">
        <v>37690700</v>
      </c>
      <c r="I1385" s="22" t="str">
        <f t="shared" si="137"/>
        <v>-</v>
      </c>
      <c r="J1385" s="7">
        <f t="shared" si="138"/>
        <v>-0.67567567567567566</v>
      </c>
      <c r="K1385" s="7">
        <f t="shared" si="139"/>
        <v>-49.761072952391871</v>
      </c>
      <c r="L1385" s="2" t="str">
        <f t="shared" si="134"/>
        <v>Normal</v>
      </c>
      <c r="M1385" s="2" t="str">
        <f t="shared" si="135"/>
        <v>Normal</v>
      </c>
      <c r="N1385" s="2" t="str">
        <f t="shared" si="136"/>
        <v>No</v>
      </c>
    </row>
    <row r="1386" spans="1:14" x14ac:dyDescent="0.25">
      <c r="A1386" s="3">
        <v>45532</v>
      </c>
      <c r="B1386" s="4">
        <v>2024</v>
      </c>
      <c r="C1386" s="5">
        <v>1480</v>
      </c>
      <c r="D1386" s="5">
        <v>1485</v>
      </c>
      <c r="E1386" s="5">
        <v>1450</v>
      </c>
      <c r="F1386" s="5">
        <v>1450</v>
      </c>
      <c r="G1386" s="5">
        <v>1381.23</v>
      </c>
      <c r="H1386" s="6">
        <v>41278000</v>
      </c>
      <c r="I1386" s="22" t="str">
        <f t="shared" si="137"/>
        <v>-</v>
      </c>
      <c r="J1386" s="7">
        <f t="shared" si="138"/>
        <v>-1.3605442176870748</v>
      </c>
      <c r="K1386" s="7">
        <f t="shared" si="139"/>
        <v>9.5177324910389043</v>
      </c>
      <c r="L1386" s="2" t="str">
        <f t="shared" si="134"/>
        <v>Normal</v>
      </c>
      <c r="M1386" s="2" t="str">
        <f t="shared" si="135"/>
        <v>Normal</v>
      </c>
      <c r="N1386" s="2" t="str">
        <f t="shared" si="136"/>
        <v>No</v>
      </c>
    </row>
    <row r="1387" spans="1:14" x14ac:dyDescent="0.25">
      <c r="A1387" s="3">
        <v>45533</v>
      </c>
      <c r="B1387" s="4">
        <v>2024</v>
      </c>
      <c r="C1387" s="5">
        <v>1450</v>
      </c>
      <c r="D1387" s="5">
        <v>1455</v>
      </c>
      <c r="E1387" s="5">
        <v>1400</v>
      </c>
      <c r="F1387" s="5">
        <v>1410</v>
      </c>
      <c r="G1387" s="5">
        <v>1343.13</v>
      </c>
      <c r="H1387" s="6">
        <v>111056900</v>
      </c>
      <c r="I1387" s="22" t="str">
        <f t="shared" si="137"/>
        <v>-</v>
      </c>
      <c r="J1387" s="7">
        <f t="shared" si="138"/>
        <v>-2.7586206896551726</v>
      </c>
      <c r="K1387" s="7">
        <f t="shared" si="139"/>
        <v>169.04622316972723</v>
      </c>
      <c r="L1387" s="2" t="str">
        <f t="shared" si="134"/>
        <v>Normal</v>
      </c>
      <c r="M1387" s="2" t="str">
        <f t="shared" si="135"/>
        <v>Sharp Volume Increase</v>
      </c>
      <c r="N1387" s="2" t="str">
        <f t="shared" si="136"/>
        <v>No</v>
      </c>
    </row>
    <row r="1388" spans="1:14" x14ac:dyDescent="0.25">
      <c r="A1388" s="3">
        <v>45534</v>
      </c>
      <c r="B1388" s="4">
        <v>2024</v>
      </c>
      <c r="C1388" s="5">
        <v>1415</v>
      </c>
      <c r="D1388" s="5">
        <v>1420</v>
      </c>
      <c r="E1388" s="5">
        <v>1390</v>
      </c>
      <c r="F1388" s="5">
        <v>1390</v>
      </c>
      <c r="G1388" s="5">
        <v>1324.07</v>
      </c>
      <c r="H1388" s="6">
        <v>764070300</v>
      </c>
      <c r="I1388" s="22" t="str">
        <f t="shared" si="137"/>
        <v>-</v>
      </c>
      <c r="J1388" s="7">
        <f t="shared" si="138"/>
        <v>-1.4184397163120568</v>
      </c>
      <c r="K1388" s="7">
        <f t="shared" si="139"/>
        <v>587.99894468511184</v>
      </c>
      <c r="L1388" s="2" t="str">
        <f t="shared" si="134"/>
        <v>Normal</v>
      </c>
      <c r="M1388" s="2" t="str">
        <f t="shared" si="135"/>
        <v>Sharp Volume Increase</v>
      </c>
      <c r="N1388" s="2" t="str">
        <f t="shared" si="136"/>
        <v>No</v>
      </c>
    </row>
    <row r="1389" spans="1:14" x14ac:dyDescent="0.25">
      <c r="A1389" s="3">
        <v>45537</v>
      </c>
      <c r="B1389" s="4">
        <v>2024</v>
      </c>
      <c r="C1389" s="5">
        <v>1400</v>
      </c>
      <c r="D1389" s="5">
        <v>1415</v>
      </c>
      <c r="E1389" s="5">
        <v>1385</v>
      </c>
      <c r="F1389" s="5">
        <v>1395</v>
      </c>
      <c r="G1389" s="5">
        <v>1328.84</v>
      </c>
      <c r="H1389" s="6">
        <v>116937200</v>
      </c>
      <c r="I1389" s="22" t="str">
        <f t="shared" si="137"/>
        <v>+</v>
      </c>
      <c r="J1389" s="7">
        <f t="shared" si="138"/>
        <v>0.35971223021582738</v>
      </c>
      <c r="K1389" s="7">
        <f t="shared" si="139"/>
        <v>-84.69549202475217</v>
      </c>
      <c r="L1389" s="2" t="str">
        <f t="shared" si="134"/>
        <v>Normal</v>
      </c>
      <c r="M1389" s="2" t="str">
        <f t="shared" si="135"/>
        <v>Sharp Volume Decrease</v>
      </c>
      <c r="N1389" s="2" t="str">
        <f t="shared" si="136"/>
        <v>No</v>
      </c>
    </row>
    <row r="1390" spans="1:14" x14ac:dyDescent="0.25">
      <c r="A1390" s="3">
        <v>45538</v>
      </c>
      <c r="B1390" s="4">
        <v>2024</v>
      </c>
      <c r="C1390" s="5">
        <v>1400</v>
      </c>
      <c r="D1390" s="5">
        <v>1405</v>
      </c>
      <c r="E1390" s="5">
        <v>1365</v>
      </c>
      <c r="F1390" s="5">
        <v>1370</v>
      </c>
      <c r="G1390" s="5">
        <v>1305.02</v>
      </c>
      <c r="H1390" s="6">
        <v>87618500</v>
      </c>
      <c r="I1390" s="22" t="str">
        <f t="shared" si="137"/>
        <v>-</v>
      </c>
      <c r="J1390" s="7">
        <f t="shared" si="138"/>
        <v>-1.7921146953405016</v>
      </c>
      <c r="K1390" s="7">
        <f t="shared" si="139"/>
        <v>-25.072175492486565</v>
      </c>
      <c r="L1390" s="2" t="str">
        <f t="shared" si="134"/>
        <v>Normal</v>
      </c>
      <c r="M1390" s="2" t="str">
        <f t="shared" si="135"/>
        <v>Normal</v>
      </c>
      <c r="N1390" s="2" t="str">
        <f t="shared" si="136"/>
        <v>No</v>
      </c>
    </row>
    <row r="1391" spans="1:14" x14ac:dyDescent="0.25">
      <c r="A1391" s="3">
        <v>45539</v>
      </c>
      <c r="B1391" s="4">
        <v>2024</v>
      </c>
      <c r="C1391" s="5">
        <v>1350</v>
      </c>
      <c r="D1391" s="5">
        <v>1370</v>
      </c>
      <c r="E1391" s="5">
        <v>1340</v>
      </c>
      <c r="F1391" s="5">
        <v>1345</v>
      </c>
      <c r="G1391" s="5">
        <v>1281.21</v>
      </c>
      <c r="H1391" s="6">
        <v>98870900</v>
      </c>
      <c r="I1391" s="22" t="str">
        <f t="shared" si="137"/>
        <v>-</v>
      </c>
      <c r="J1391" s="7">
        <f t="shared" si="138"/>
        <v>-1.824817518248175</v>
      </c>
      <c r="K1391" s="7">
        <f t="shared" si="139"/>
        <v>12.842493309061442</v>
      </c>
      <c r="L1391" s="2" t="str">
        <f t="shared" si="134"/>
        <v>Normal</v>
      </c>
      <c r="M1391" s="2" t="str">
        <f t="shared" si="135"/>
        <v>Normal</v>
      </c>
      <c r="N1391" s="2" t="str">
        <f t="shared" si="136"/>
        <v>No</v>
      </c>
    </row>
    <row r="1392" spans="1:14" x14ac:dyDescent="0.25">
      <c r="A1392" s="3">
        <v>45540</v>
      </c>
      <c r="B1392" s="4">
        <v>2024</v>
      </c>
      <c r="C1392" s="5">
        <v>1350</v>
      </c>
      <c r="D1392" s="5">
        <v>1370</v>
      </c>
      <c r="E1392" s="5">
        <v>1330</v>
      </c>
      <c r="F1392" s="5">
        <v>1345</v>
      </c>
      <c r="G1392" s="5">
        <v>1281.21</v>
      </c>
      <c r="H1392" s="6">
        <v>106245300</v>
      </c>
      <c r="I1392" s="22" t="str">
        <f t="shared" si="137"/>
        <v>0</v>
      </c>
      <c r="J1392" s="7">
        <f t="shared" si="138"/>
        <v>0</v>
      </c>
      <c r="K1392" s="7">
        <f t="shared" si="139"/>
        <v>7.4586152244998276</v>
      </c>
      <c r="L1392" s="2" t="str">
        <f t="shared" si="134"/>
        <v>Normal</v>
      </c>
      <c r="M1392" s="2" t="str">
        <f t="shared" si="135"/>
        <v>Normal</v>
      </c>
      <c r="N1392" s="2" t="str">
        <f t="shared" si="136"/>
        <v>No</v>
      </c>
    </row>
    <row r="1393" spans="1:14" x14ac:dyDescent="0.25">
      <c r="A1393" s="3">
        <v>45541</v>
      </c>
      <c r="B1393" s="4">
        <v>2024</v>
      </c>
      <c r="C1393" s="5">
        <v>1345</v>
      </c>
      <c r="D1393" s="5">
        <v>1360</v>
      </c>
      <c r="E1393" s="5">
        <v>1330</v>
      </c>
      <c r="F1393" s="5">
        <v>1335</v>
      </c>
      <c r="G1393" s="5">
        <v>1271.68</v>
      </c>
      <c r="H1393" s="6">
        <v>77347000</v>
      </c>
      <c r="I1393" s="22" t="str">
        <f t="shared" si="137"/>
        <v>-</v>
      </c>
      <c r="J1393" s="7">
        <f t="shared" si="138"/>
        <v>-0.74349442379182151</v>
      </c>
      <c r="K1393" s="7">
        <f t="shared" si="139"/>
        <v>-27.199603182446658</v>
      </c>
      <c r="L1393" s="2" t="str">
        <f t="shared" si="134"/>
        <v>Normal</v>
      </c>
      <c r="M1393" s="2" t="str">
        <f t="shared" si="135"/>
        <v>Normal</v>
      </c>
      <c r="N1393" s="2" t="str">
        <f t="shared" si="136"/>
        <v>No</v>
      </c>
    </row>
    <row r="1394" spans="1:14" x14ac:dyDescent="0.25">
      <c r="A1394" s="3">
        <v>45544</v>
      </c>
      <c r="B1394" s="4">
        <v>2024</v>
      </c>
      <c r="C1394" s="5">
        <v>1335</v>
      </c>
      <c r="D1394" s="5">
        <v>1340</v>
      </c>
      <c r="E1394" s="5">
        <v>1305</v>
      </c>
      <c r="F1394" s="5">
        <v>1320</v>
      </c>
      <c r="G1394" s="5">
        <v>1257.3900000000001</v>
      </c>
      <c r="H1394" s="6">
        <v>92572800</v>
      </c>
      <c r="I1394" s="22" t="str">
        <f t="shared" si="137"/>
        <v>-</v>
      </c>
      <c r="J1394" s="7">
        <f t="shared" si="138"/>
        <v>-1.1235955056179776</v>
      </c>
      <c r="K1394" s="7">
        <f t="shared" si="139"/>
        <v>19.685055658267288</v>
      </c>
      <c r="L1394" s="2" t="str">
        <f t="shared" si="134"/>
        <v>Normal</v>
      </c>
      <c r="M1394" s="2" t="str">
        <f t="shared" si="135"/>
        <v>Normal</v>
      </c>
      <c r="N1394" s="2" t="str">
        <f t="shared" si="136"/>
        <v>No</v>
      </c>
    </row>
    <row r="1395" spans="1:14" x14ac:dyDescent="0.25">
      <c r="A1395" s="3">
        <v>45545</v>
      </c>
      <c r="B1395" s="4">
        <v>2024</v>
      </c>
      <c r="C1395" s="5">
        <v>1320</v>
      </c>
      <c r="D1395" s="5">
        <v>1335</v>
      </c>
      <c r="E1395" s="5">
        <v>1305</v>
      </c>
      <c r="F1395" s="5">
        <v>1320</v>
      </c>
      <c r="G1395" s="5">
        <v>1257.3900000000001</v>
      </c>
      <c r="H1395" s="6">
        <v>61469800</v>
      </c>
      <c r="I1395" s="22" t="str">
        <f t="shared" si="137"/>
        <v>0</v>
      </c>
      <c r="J1395" s="7">
        <f t="shared" si="138"/>
        <v>0</v>
      </c>
      <c r="K1395" s="7">
        <f t="shared" si="139"/>
        <v>-33.59842199868644</v>
      </c>
      <c r="L1395" s="2" t="str">
        <f t="shared" si="134"/>
        <v>Normal</v>
      </c>
      <c r="M1395" s="2" t="str">
        <f t="shared" si="135"/>
        <v>Normal</v>
      </c>
      <c r="N1395" s="2" t="str">
        <f t="shared" si="136"/>
        <v>No</v>
      </c>
    </row>
    <row r="1396" spans="1:14" x14ac:dyDescent="0.25">
      <c r="A1396" s="3">
        <v>45546</v>
      </c>
      <c r="B1396" s="4">
        <v>2024</v>
      </c>
      <c r="C1396" s="5">
        <v>1320</v>
      </c>
      <c r="D1396" s="5">
        <v>1345</v>
      </c>
      <c r="E1396" s="5">
        <v>1315</v>
      </c>
      <c r="F1396" s="5">
        <v>1315</v>
      </c>
      <c r="G1396" s="5">
        <v>1252.6300000000001</v>
      </c>
      <c r="H1396" s="6">
        <v>95724000</v>
      </c>
      <c r="I1396" s="22" t="str">
        <f t="shared" si="137"/>
        <v>-</v>
      </c>
      <c r="J1396" s="7">
        <f t="shared" si="138"/>
        <v>-0.37878787878787878</v>
      </c>
      <c r="K1396" s="7">
        <f t="shared" si="139"/>
        <v>55.725250448187566</v>
      </c>
      <c r="L1396" s="2" t="str">
        <f t="shared" si="134"/>
        <v>Normal</v>
      </c>
      <c r="M1396" s="2" t="str">
        <f t="shared" si="135"/>
        <v>Normal</v>
      </c>
      <c r="N1396" s="2" t="str">
        <f t="shared" si="136"/>
        <v>No</v>
      </c>
    </row>
    <row r="1397" spans="1:14" x14ac:dyDescent="0.25">
      <c r="A1397" s="3">
        <v>45547</v>
      </c>
      <c r="B1397" s="4">
        <v>2024</v>
      </c>
      <c r="C1397" s="5">
        <v>1325</v>
      </c>
      <c r="D1397" s="5">
        <v>1360</v>
      </c>
      <c r="E1397" s="5">
        <v>1315</v>
      </c>
      <c r="F1397" s="5">
        <v>1345</v>
      </c>
      <c r="G1397" s="5">
        <v>1281.21</v>
      </c>
      <c r="H1397" s="6">
        <v>104507600</v>
      </c>
      <c r="I1397" s="22" t="str">
        <f t="shared" si="137"/>
        <v>+</v>
      </c>
      <c r="J1397" s="7">
        <f t="shared" si="138"/>
        <v>2.2813688212927756</v>
      </c>
      <c r="K1397" s="7">
        <f t="shared" si="139"/>
        <v>9.1759642304960085</v>
      </c>
      <c r="L1397" s="2" t="str">
        <f t="shared" si="134"/>
        <v>Normal</v>
      </c>
      <c r="M1397" s="2" t="str">
        <f t="shared" si="135"/>
        <v>Normal</v>
      </c>
      <c r="N1397" s="2" t="str">
        <f t="shared" si="136"/>
        <v>No</v>
      </c>
    </row>
    <row r="1398" spans="1:14" x14ac:dyDescent="0.25">
      <c r="A1398" s="3">
        <v>45548</v>
      </c>
      <c r="B1398" s="4">
        <v>2024</v>
      </c>
      <c r="C1398" s="5">
        <v>1365</v>
      </c>
      <c r="D1398" s="5">
        <v>1370</v>
      </c>
      <c r="E1398" s="5">
        <v>1330</v>
      </c>
      <c r="F1398" s="5">
        <v>1335</v>
      </c>
      <c r="G1398" s="5">
        <v>1271.68</v>
      </c>
      <c r="H1398" s="6">
        <v>101550200</v>
      </c>
      <c r="I1398" s="22" t="str">
        <f t="shared" si="137"/>
        <v>-</v>
      </c>
      <c r="J1398" s="7">
        <f t="shared" si="138"/>
        <v>-0.74349442379182151</v>
      </c>
      <c r="K1398" s="7">
        <f t="shared" si="139"/>
        <v>-2.82984204019612</v>
      </c>
      <c r="L1398" s="2" t="str">
        <f t="shared" si="134"/>
        <v>Normal</v>
      </c>
      <c r="M1398" s="2" t="str">
        <f t="shared" si="135"/>
        <v>Normal</v>
      </c>
      <c r="N1398" s="2" t="str">
        <f t="shared" si="136"/>
        <v>No</v>
      </c>
    </row>
    <row r="1399" spans="1:14" x14ac:dyDescent="0.25">
      <c r="A1399" s="3">
        <v>45552</v>
      </c>
      <c r="B1399" s="4">
        <v>2024</v>
      </c>
      <c r="C1399" s="5">
        <v>1350</v>
      </c>
      <c r="D1399" s="5">
        <v>1390</v>
      </c>
      <c r="E1399" s="5">
        <v>1345</v>
      </c>
      <c r="F1399" s="5">
        <v>1380</v>
      </c>
      <c r="G1399" s="5">
        <v>1314.55</v>
      </c>
      <c r="H1399" s="6">
        <v>153082200</v>
      </c>
      <c r="I1399" s="22" t="str">
        <f t="shared" si="137"/>
        <v>+</v>
      </c>
      <c r="J1399" s="7">
        <f t="shared" si="138"/>
        <v>3.3707865168539324</v>
      </c>
      <c r="K1399" s="7">
        <f t="shared" si="139"/>
        <v>50.745345651707233</v>
      </c>
      <c r="L1399" s="2" t="str">
        <f t="shared" si="134"/>
        <v>Normal</v>
      </c>
      <c r="M1399" s="2" t="str">
        <f t="shared" si="135"/>
        <v>Normal</v>
      </c>
      <c r="N1399" s="2" t="str">
        <f t="shared" si="136"/>
        <v>No</v>
      </c>
    </row>
    <row r="1400" spans="1:14" x14ac:dyDescent="0.25">
      <c r="A1400" s="3">
        <v>45553</v>
      </c>
      <c r="B1400" s="4">
        <v>2024</v>
      </c>
      <c r="C1400" s="5">
        <v>1380</v>
      </c>
      <c r="D1400" s="5">
        <v>1380</v>
      </c>
      <c r="E1400" s="5">
        <v>1365</v>
      </c>
      <c r="F1400" s="5">
        <v>1365</v>
      </c>
      <c r="G1400" s="5">
        <v>1300.26</v>
      </c>
      <c r="H1400" s="6">
        <v>54056600</v>
      </c>
      <c r="I1400" s="22" t="str">
        <f t="shared" si="137"/>
        <v>-</v>
      </c>
      <c r="J1400" s="7">
        <f t="shared" si="138"/>
        <v>-1.0869565217391304</v>
      </c>
      <c r="K1400" s="7">
        <f t="shared" si="139"/>
        <v>-64.687860508929191</v>
      </c>
      <c r="L1400" s="2" t="str">
        <f t="shared" si="134"/>
        <v>Normal</v>
      </c>
      <c r="M1400" s="2" t="str">
        <f t="shared" si="135"/>
        <v>Sharp Volume Decrease</v>
      </c>
      <c r="N1400" s="2" t="str">
        <f t="shared" si="136"/>
        <v>No</v>
      </c>
    </row>
    <row r="1401" spans="1:14" x14ac:dyDescent="0.25">
      <c r="A1401" s="3">
        <v>45554</v>
      </c>
      <c r="B1401" s="4">
        <v>2024</v>
      </c>
      <c r="C1401" s="5">
        <v>1365</v>
      </c>
      <c r="D1401" s="5">
        <v>1380</v>
      </c>
      <c r="E1401" s="5">
        <v>1360</v>
      </c>
      <c r="F1401" s="5">
        <v>1375</v>
      </c>
      <c r="G1401" s="5">
        <v>1309.79</v>
      </c>
      <c r="H1401" s="6">
        <v>64130700</v>
      </c>
      <c r="I1401" s="22" t="str">
        <f t="shared" si="137"/>
        <v>+</v>
      </c>
      <c r="J1401" s="7">
        <f t="shared" si="138"/>
        <v>0.73260073260073255</v>
      </c>
      <c r="K1401" s="7">
        <f t="shared" si="139"/>
        <v>18.636207234639247</v>
      </c>
      <c r="L1401" s="2" t="str">
        <f t="shared" si="134"/>
        <v>Normal</v>
      </c>
      <c r="M1401" s="2" t="str">
        <f t="shared" si="135"/>
        <v>Normal</v>
      </c>
      <c r="N1401" s="2" t="str">
        <f t="shared" si="136"/>
        <v>No</v>
      </c>
    </row>
    <row r="1402" spans="1:14" x14ac:dyDescent="0.25">
      <c r="A1402" s="3">
        <v>45555</v>
      </c>
      <c r="B1402" s="4">
        <v>2024</v>
      </c>
      <c r="C1402" s="5">
        <v>1380</v>
      </c>
      <c r="D1402" s="5">
        <v>1385</v>
      </c>
      <c r="E1402" s="5">
        <v>1365</v>
      </c>
      <c r="F1402" s="5">
        <v>1370</v>
      </c>
      <c r="G1402" s="5">
        <v>1305.02</v>
      </c>
      <c r="H1402" s="6">
        <v>66852400</v>
      </c>
      <c r="I1402" s="22" t="str">
        <f t="shared" si="137"/>
        <v>-</v>
      </c>
      <c r="J1402" s="7">
        <f t="shared" si="138"/>
        <v>-0.36363636363636365</v>
      </c>
      <c r="K1402" s="7">
        <f t="shared" si="139"/>
        <v>4.243989228247937</v>
      </c>
      <c r="L1402" s="2" t="str">
        <f t="shared" si="134"/>
        <v>Normal</v>
      </c>
      <c r="M1402" s="2" t="str">
        <f t="shared" si="135"/>
        <v>Normal</v>
      </c>
      <c r="N1402" s="2" t="str">
        <f t="shared" si="136"/>
        <v>No</v>
      </c>
    </row>
    <row r="1403" spans="1:14" x14ac:dyDescent="0.25">
      <c r="A1403" s="3">
        <v>45558</v>
      </c>
      <c r="B1403" s="4">
        <v>2024</v>
      </c>
      <c r="C1403" s="5">
        <v>1380</v>
      </c>
      <c r="D1403" s="5">
        <v>1410</v>
      </c>
      <c r="E1403" s="5">
        <v>1380</v>
      </c>
      <c r="F1403" s="5">
        <v>1395</v>
      </c>
      <c r="G1403" s="5">
        <v>1328.84</v>
      </c>
      <c r="H1403" s="6">
        <v>124951500</v>
      </c>
      <c r="I1403" s="22" t="str">
        <f t="shared" si="137"/>
        <v>+</v>
      </c>
      <c r="J1403" s="7">
        <f t="shared" si="138"/>
        <v>1.824817518248175</v>
      </c>
      <c r="K1403" s="7">
        <f t="shared" si="139"/>
        <v>86.90652841184459</v>
      </c>
      <c r="L1403" s="2" t="str">
        <f t="shared" si="134"/>
        <v>Normal</v>
      </c>
      <c r="M1403" s="2" t="str">
        <f t="shared" si="135"/>
        <v>Normal</v>
      </c>
      <c r="N1403" s="2" t="str">
        <f t="shared" si="136"/>
        <v>No</v>
      </c>
    </row>
    <row r="1404" spans="1:14" x14ac:dyDescent="0.25">
      <c r="A1404" s="3">
        <v>45559</v>
      </c>
      <c r="B1404" s="4">
        <v>2024</v>
      </c>
      <c r="C1404" s="5">
        <v>1400</v>
      </c>
      <c r="D1404" s="5">
        <v>1410</v>
      </c>
      <c r="E1404" s="5">
        <v>1385</v>
      </c>
      <c r="F1404" s="5">
        <v>1410</v>
      </c>
      <c r="G1404" s="5">
        <v>1343.13</v>
      </c>
      <c r="H1404" s="6">
        <v>99822100</v>
      </c>
      <c r="I1404" s="22" t="str">
        <f t="shared" si="137"/>
        <v>+</v>
      </c>
      <c r="J1404" s="7">
        <f t="shared" si="138"/>
        <v>1.0752688172043012</v>
      </c>
      <c r="K1404" s="7">
        <f t="shared" si="139"/>
        <v>-20.111323193399038</v>
      </c>
      <c r="L1404" s="2" t="str">
        <f t="shared" si="134"/>
        <v>Normal</v>
      </c>
      <c r="M1404" s="2" t="str">
        <f t="shared" si="135"/>
        <v>Normal</v>
      </c>
      <c r="N1404" s="2" t="str">
        <f t="shared" si="136"/>
        <v>No</v>
      </c>
    </row>
    <row r="1405" spans="1:14" x14ac:dyDescent="0.25">
      <c r="A1405" s="3">
        <v>45560</v>
      </c>
      <c r="B1405" s="4">
        <v>2024</v>
      </c>
      <c r="C1405" s="5">
        <v>1420</v>
      </c>
      <c r="D1405" s="5">
        <v>1445</v>
      </c>
      <c r="E1405" s="5">
        <v>1405</v>
      </c>
      <c r="F1405" s="5">
        <v>1440</v>
      </c>
      <c r="G1405" s="5">
        <v>1371.7</v>
      </c>
      <c r="H1405" s="6">
        <v>213527100</v>
      </c>
      <c r="I1405" s="22" t="str">
        <f t="shared" si="137"/>
        <v>+</v>
      </c>
      <c r="J1405" s="7">
        <f t="shared" si="138"/>
        <v>2.1276595744680851</v>
      </c>
      <c r="K1405" s="7">
        <f t="shared" si="139"/>
        <v>113.90764169457466</v>
      </c>
      <c r="L1405" s="2" t="str">
        <f t="shared" si="134"/>
        <v>Normal</v>
      </c>
      <c r="M1405" s="2" t="str">
        <f t="shared" si="135"/>
        <v>Normal</v>
      </c>
      <c r="N1405" s="2" t="str">
        <f t="shared" si="136"/>
        <v>No</v>
      </c>
    </row>
    <row r="1406" spans="1:14" x14ac:dyDescent="0.25">
      <c r="A1406" s="3">
        <v>45561</v>
      </c>
      <c r="B1406" s="4">
        <v>2024</v>
      </c>
      <c r="C1406" s="5">
        <v>1450</v>
      </c>
      <c r="D1406" s="5">
        <v>1450</v>
      </c>
      <c r="E1406" s="5">
        <v>1415</v>
      </c>
      <c r="F1406" s="5">
        <v>1425</v>
      </c>
      <c r="G1406" s="5">
        <v>1357.41</v>
      </c>
      <c r="H1406" s="6">
        <v>119737300</v>
      </c>
      <c r="I1406" s="22" t="str">
        <f t="shared" si="137"/>
        <v>-</v>
      </c>
      <c r="J1406" s="7">
        <f t="shared" si="138"/>
        <v>-1.0416666666666665</v>
      </c>
      <c r="K1406" s="7">
        <f t="shared" si="139"/>
        <v>-43.924073337763687</v>
      </c>
      <c r="L1406" s="2" t="str">
        <f t="shared" si="134"/>
        <v>Normal</v>
      </c>
      <c r="M1406" s="2" t="str">
        <f t="shared" si="135"/>
        <v>Normal</v>
      </c>
      <c r="N1406" s="2" t="str">
        <f t="shared" si="136"/>
        <v>No</v>
      </c>
    </row>
    <row r="1407" spans="1:14" x14ac:dyDescent="0.25">
      <c r="A1407" s="3">
        <v>45562</v>
      </c>
      <c r="B1407" s="4">
        <v>2024</v>
      </c>
      <c r="C1407" s="5">
        <v>1430</v>
      </c>
      <c r="D1407" s="5">
        <v>1480</v>
      </c>
      <c r="E1407" s="5">
        <v>1425</v>
      </c>
      <c r="F1407" s="5">
        <v>1470</v>
      </c>
      <c r="G1407" s="5">
        <v>1400.28</v>
      </c>
      <c r="H1407" s="6">
        <v>146334800</v>
      </c>
      <c r="I1407" s="22" t="str">
        <f t="shared" si="137"/>
        <v>+</v>
      </c>
      <c r="J1407" s="7">
        <f t="shared" si="138"/>
        <v>3.1578947368421053</v>
      </c>
      <c r="K1407" s="7">
        <f t="shared" si="139"/>
        <v>22.213211756069327</v>
      </c>
      <c r="L1407" s="2" t="str">
        <f t="shared" si="134"/>
        <v>Normal</v>
      </c>
      <c r="M1407" s="2" t="str">
        <f t="shared" si="135"/>
        <v>Normal</v>
      </c>
      <c r="N1407" s="2" t="str">
        <f t="shared" si="136"/>
        <v>No</v>
      </c>
    </row>
    <row r="1408" spans="1:14" x14ac:dyDescent="0.25">
      <c r="A1408" s="3">
        <v>45565</v>
      </c>
      <c r="B1408" s="4">
        <v>2024</v>
      </c>
      <c r="C1408" s="5">
        <v>1480</v>
      </c>
      <c r="D1408" s="5">
        <v>1490</v>
      </c>
      <c r="E1408" s="5">
        <v>1435</v>
      </c>
      <c r="F1408" s="5">
        <v>1480</v>
      </c>
      <c r="G1408" s="5">
        <v>1409.81</v>
      </c>
      <c r="H1408" s="6">
        <v>131933000</v>
      </c>
      <c r="I1408" s="22" t="str">
        <f t="shared" si="137"/>
        <v>+</v>
      </c>
      <c r="J1408" s="7">
        <f t="shared" si="138"/>
        <v>0.68027210884353739</v>
      </c>
      <c r="K1408" s="7">
        <f t="shared" si="139"/>
        <v>-9.8416781244105973</v>
      </c>
      <c r="L1408" s="2" t="str">
        <f t="shared" si="134"/>
        <v>Normal</v>
      </c>
      <c r="M1408" s="2" t="str">
        <f t="shared" si="135"/>
        <v>Normal</v>
      </c>
      <c r="N1408" s="2" t="str">
        <f t="shared" si="136"/>
        <v>No</v>
      </c>
    </row>
    <row r="1409" spans="1:14" x14ac:dyDescent="0.25">
      <c r="A1409" s="3">
        <v>45566</v>
      </c>
      <c r="B1409" s="4">
        <v>2024</v>
      </c>
      <c r="C1409" s="5">
        <v>1490</v>
      </c>
      <c r="D1409" s="5">
        <v>1510</v>
      </c>
      <c r="E1409" s="5">
        <v>1480</v>
      </c>
      <c r="F1409" s="5">
        <v>1500</v>
      </c>
      <c r="G1409" s="5">
        <v>1428.86</v>
      </c>
      <c r="H1409" s="6">
        <v>123533000</v>
      </c>
      <c r="I1409" s="22" t="str">
        <f t="shared" si="137"/>
        <v>+</v>
      </c>
      <c r="J1409" s="7">
        <f t="shared" si="138"/>
        <v>1.3513513513513513</v>
      </c>
      <c r="K1409" s="7">
        <f t="shared" si="139"/>
        <v>-6.3668680315008368</v>
      </c>
      <c r="L1409" s="2" t="str">
        <f t="shared" si="134"/>
        <v>Normal</v>
      </c>
      <c r="M1409" s="2" t="str">
        <f t="shared" si="135"/>
        <v>Normal</v>
      </c>
      <c r="N1409" s="2" t="str">
        <f t="shared" si="136"/>
        <v>No</v>
      </c>
    </row>
    <row r="1410" spans="1:14" x14ac:dyDescent="0.25">
      <c r="A1410" s="3">
        <v>45567</v>
      </c>
      <c r="B1410" s="4">
        <v>2024</v>
      </c>
      <c r="C1410" s="5">
        <v>1510</v>
      </c>
      <c r="D1410" s="5">
        <v>1570</v>
      </c>
      <c r="E1410" s="5">
        <v>1480</v>
      </c>
      <c r="F1410" s="5">
        <v>1535</v>
      </c>
      <c r="G1410" s="5">
        <v>1462.2</v>
      </c>
      <c r="H1410" s="6">
        <v>254461600</v>
      </c>
      <c r="I1410" s="22" t="str">
        <f t="shared" si="137"/>
        <v>+</v>
      </c>
      <c r="J1410" s="7">
        <f t="shared" si="138"/>
        <v>2.3333333333333335</v>
      </c>
      <c r="K1410" s="7">
        <f t="shared" si="139"/>
        <v>105.98674038516025</v>
      </c>
      <c r="L1410" s="2" t="str">
        <f t="shared" si="134"/>
        <v>Normal</v>
      </c>
      <c r="M1410" s="2" t="str">
        <f t="shared" si="135"/>
        <v>Normal</v>
      </c>
      <c r="N1410" s="2" t="str">
        <f t="shared" si="136"/>
        <v>No</v>
      </c>
    </row>
    <row r="1411" spans="1:14" x14ac:dyDescent="0.25">
      <c r="A1411" s="3">
        <v>45568</v>
      </c>
      <c r="B1411" s="4">
        <v>2024</v>
      </c>
      <c r="C1411" s="5">
        <v>1550</v>
      </c>
      <c r="D1411" s="5">
        <v>1590</v>
      </c>
      <c r="E1411" s="5">
        <v>1535</v>
      </c>
      <c r="F1411" s="5">
        <v>1535</v>
      </c>
      <c r="G1411" s="5">
        <v>1462.2</v>
      </c>
      <c r="H1411" s="6">
        <v>199006700</v>
      </c>
      <c r="I1411" s="22" t="str">
        <f t="shared" si="137"/>
        <v>0</v>
      </c>
      <c r="J1411" s="7">
        <f t="shared" si="138"/>
        <v>0</v>
      </c>
      <c r="K1411" s="7">
        <f t="shared" si="139"/>
        <v>-21.793032819097263</v>
      </c>
      <c r="L1411" s="2" t="str">
        <f t="shared" ref="L1411:L1474" si="140">IFERROR(IF(OR(J1411="",ISBLANK(J1411)),"Normal",IF(J1411&lt;=$U$6,"Sharp Price Decrease",IF(J1411&gt;=$U$7,"Sharp Price Increase","Normal"))),"Normal")</f>
        <v>Normal</v>
      </c>
      <c r="M1411" s="2" t="str">
        <f t="shared" ref="M1411:M1474" si="141">IFERROR(IF(OR(K1411="",ISBLANK(K1411)),"Normal",IF(K1411&lt;=$U$8,"Sharp Volume Decrease",IF(K1411&gt;=$U$9,"Sharp Volume Increase","Normal"))),"Normal")</f>
        <v>Normal</v>
      </c>
      <c r="N1411" s="2" t="str">
        <f t="shared" ref="N1411:N1474" si="142">IFERROR(IF(AND(OR(L1411="Sharp Price Increase",L1411="Sharp Price Decrease"),OR(M1411="Sharp Volume Increase",M1411="Sharp Volume Decrease")),"Yes","No"),"No")</f>
        <v>No</v>
      </c>
    </row>
    <row r="1412" spans="1:14" x14ac:dyDescent="0.25">
      <c r="A1412" s="3">
        <v>45569</v>
      </c>
      <c r="B1412" s="4">
        <v>2024</v>
      </c>
      <c r="C1412" s="5">
        <v>1535</v>
      </c>
      <c r="D1412" s="5">
        <v>1545</v>
      </c>
      <c r="E1412" s="5">
        <v>1500</v>
      </c>
      <c r="F1412" s="5">
        <v>1525</v>
      </c>
      <c r="G1412" s="5">
        <v>1452.67</v>
      </c>
      <c r="H1412" s="6">
        <v>75683200</v>
      </c>
      <c r="I1412" s="22" t="str">
        <f t="shared" ref="I1412:I1475" si="143">IFERROR(IF(OR(F1411="",F1412=""),"",IF(F1412-F1411&lt;0,"-",IF(F1412-F1411&gt;0,"+","0"))),"")</f>
        <v>-</v>
      </c>
      <c r="J1412" s="7">
        <f t="shared" ref="J1412:J1475" si="144">(F1412-F1411)/F1411*100</f>
        <v>-0.65146579804560267</v>
      </c>
      <c r="K1412" s="7">
        <f t="shared" ref="K1412:K1475" si="145">(H1412-H1411)/H1411*100</f>
        <v>-61.969521629171275</v>
      </c>
      <c r="L1412" s="2" t="str">
        <f t="shared" si="140"/>
        <v>Normal</v>
      </c>
      <c r="M1412" s="2" t="str">
        <f t="shared" si="141"/>
        <v>Sharp Volume Decrease</v>
      </c>
      <c r="N1412" s="2" t="str">
        <f t="shared" si="142"/>
        <v>No</v>
      </c>
    </row>
    <row r="1413" spans="1:14" x14ac:dyDescent="0.25">
      <c r="A1413" s="3">
        <v>45572</v>
      </c>
      <c r="B1413" s="4">
        <v>2024</v>
      </c>
      <c r="C1413" s="5">
        <v>1530</v>
      </c>
      <c r="D1413" s="5">
        <v>1555</v>
      </c>
      <c r="E1413" s="5">
        <v>1525</v>
      </c>
      <c r="F1413" s="5">
        <v>1545</v>
      </c>
      <c r="G1413" s="5">
        <v>1471.72</v>
      </c>
      <c r="H1413" s="6">
        <v>85637900</v>
      </c>
      <c r="I1413" s="22" t="str">
        <f t="shared" si="143"/>
        <v>+</v>
      </c>
      <c r="J1413" s="7">
        <f t="shared" si="144"/>
        <v>1.3114754098360655</v>
      </c>
      <c r="K1413" s="7">
        <f t="shared" si="145"/>
        <v>13.15311720434654</v>
      </c>
      <c r="L1413" s="2" t="str">
        <f t="shared" si="140"/>
        <v>Normal</v>
      </c>
      <c r="M1413" s="2" t="str">
        <f t="shared" si="141"/>
        <v>Normal</v>
      </c>
      <c r="N1413" s="2" t="str">
        <f t="shared" si="142"/>
        <v>No</v>
      </c>
    </row>
    <row r="1414" spans="1:14" x14ac:dyDescent="0.25">
      <c r="A1414" s="3">
        <v>45573</v>
      </c>
      <c r="B1414" s="4">
        <v>2024</v>
      </c>
      <c r="C1414" s="5">
        <v>1545</v>
      </c>
      <c r="D1414" s="5">
        <v>1575</v>
      </c>
      <c r="E1414" s="5">
        <v>1505</v>
      </c>
      <c r="F1414" s="5">
        <v>1525</v>
      </c>
      <c r="G1414" s="5">
        <v>1452.67</v>
      </c>
      <c r="H1414" s="6">
        <v>137208800</v>
      </c>
      <c r="I1414" s="22" t="str">
        <f t="shared" si="143"/>
        <v>-</v>
      </c>
      <c r="J1414" s="7">
        <f t="shared" si="144"/>
        <v>-1.2944983818770228</v>
      </c>
      <c r="K1414" s="7">
        <f t="shared" si="145"/>
        <v>60.219715803400135</v>
      </c>
      <c r="L1414" s="2" t="str">
        <f t="shared" si="140"/>
        <v>Normal</v>
      </c>
      <c r="M1414" s="2" t="str">
        <f t="shared" si="141"/>
        <v>Normal</v>
      </c>
      <c r="N1414" s="2" t="str">
        <f t="shared" si="142"/>
        <v>No</v>
      </c>
    </row>
    <row r="1415" spans="1:14" x14ac:dyDescent="0.25">
      <c r="A1415" s="3">
        <v>45574</v>
      </c>
      <c r="B1415" s="4">
        <v>2024</v>
      </c>
      <c r="C1415" s="5">
        <v>1515</v>
      </c>
      <c r="D1415" s="5">
        <v>1525</v>
      </c>
      <c r="E1415" s="5">
        <v>1490</v>
      </c>
      <c r="F1415" s="5">
        <v>1515</v>
      </c>
      <c r="G1415" s="5">
        <v>1443.15</v>
      </c>
      <c r="H1415" s="6">
        <v>73795700</v>
      </c>
      <c r="I1415" s="22" t="str">
        <f t="shared" si="143"/>
        <v>-</v>
      </c>
      <c r="J1415" s="7">
        <f t="shared" si="144"/>
        <v>-0.65573770491803274</v>
      </c>
      <c r="K1415" s="7">
        <f t="shared" si="145"/>
        <v>-46.216496318020418</v>
      </c>
      <c r="L1415" s="2" t="str">
        <f t="shared" si="140"/>
        <v>Normal</v>
      </c>
      <c r="M1415" s="2" t="str">
        <f t="shared" si="141"/>
        <v>Normal</v>
      </c>
      <c r="N1415" s="2" t="str">
        <f t="shared" si="142"/>
        <v>No</v>
      </c>
    </row>
    <row r="1416" spans="1:14" x14ac:dyDescent="0.25">
      <c r="A1416" s="3">
        <v>45575</v>
      </c>
      <c r="B1416" s="4">
        <v>2024</v>
      </c>
      <c r="C1416" s="5">
        <v>1515</v>
      </c>
      <c r="D1416" s="5">
        <v>1540</v>
      </c>
      <c r="E1416" s="5">
        <v>1515</v>
      </c>
      <c r="F1416" s="5">
        <v>1535</v>
      </c>
      <c r="G1416" s="5">
        <v>1462.2</v>
      </c>
      <c r="H1416" s="6">
        <v>59202600</v>
      </c>
      <c r="I1416" s="22" t="str">
        <f t="shared" si="143"/>
        <v>+</v>
      </c>
      <c r="J1416" s="7">
        <f t="shared" si="144"/>
        <v>1.3201320132013201</v>
      </c>
      <c r="K1416" s="7">
        <f t="shared" si="145"/>
        <v>-19.775000440405062</v>
      </c>
      <c r="L1416" s="2" t="str">
        <f t="shared" si="140"/>
        <v>Normal</v>
      </c>
      <c r="M1416" s="2" t="str">
        <f t="shared" si="141"/>
        <v>Normal</v>
      </c>
      <c r="N1416" s="2" t="str">
        <f t="shared" si="142"/>
        <v>No</v>
      </c>
    </row>
    <row r="1417" spans="1:14" x14ac:dyDescent="0.25">
      <c r="A1417" s="3">
        <v>45576</v>
      </c>
      <c r="B1417" s="4">
        <v>2024</v>
      </c>
      <c r="C1417" s="5">
        <v>1545</v>
      </c>
      <c r="D1417" s="5">
        <v>1565</v>
      </c>
      <c r="E1417" s="5">
        <v>1535</v>
      </c>
      <c r="F1417" s="5">
        <v>1565</v>
      </c>
      <c r="G1417" s="5">
        <v>1490.77</v>
      </c>
      <c r="H1417" s="6">
        <v>86316100</v>
      </c>
      <c r="I1417" s="22" t="str">
        <f t="shared" si="143"/>
        <v>+</v>
      </c>
      <c r="J1417" s="7">
        <f t="shared" si="144"/>
        <v>1.9543973941368076</v>
      </c>
      <c r="K1417" s="7">
        <f t="shared" si="145"/>
        <v>45.797819690351439</v>
      </c>
      <c r="L1417" s="2" t="str">
        <f t="shared" si="140"/>
        <v>Normal</v>
      </c>
      <c r="M1417" s="2" t="str">
        <f t="shared" si="141"/>
        <v>Normal</v>
      </c>
      <c r="N1417" s="2" t="str">
        <f t="shared" si="142"/>
        <v>No</v>
      </c>
    </row>
    <row r="1418" spans="1:14" x14ac:dyDescent="0.25">
      <c r="A1418" s="3">
        <v>45579</v>
      </c>
      <c r="B1418" s="4">
        <v>2024</v>
      </c>
      <c r="C1418" s="5">
        <v>1575</v>
      </c>
      <c r="D1418" s="5">
        <v>1640</v>
      </c>
      <c r="E1418" s="5">
        <v>1565</v>
      </c>
      <c r="F1418" s="5">
        <v>1630</v>
      </c>
      <c r="G1418" s="5">
        <v>1552.69</v>
      </c>
      <c r="H1418" s="6">
        <v>173551800</v>
      </c>
      <c r="I1418" s="22" t="str">
        <f t="shared" si="143"/>
        <v>+</v>
      </c>
      <c r="J1418" s="7">
        <f t="shared" si="144"/>
        <v>4.1533546325878596</v>
      </c>
      <c r="K1418" s="7">
        <f t="shared" si="145"/>
        <v>101.06538641110987</v>
      </c>
      <c r="L1418" s="2" t="str">
        <f t="shared" si="140"/>
        <v>Normal</v>
      </c>
      <c r="M1418" s="2" t="str">
        <f t="shared" si="141"/>
        <v>Normal</v>
      </c>
      <c r="N1418" s="2" t="str">
        <f t="shared" si="142"/>
        <v>No</v>
      </c>
    </row>
    <row r="1419" spans="1:14" x14ac:dyDescent="0.25">
      <c r="A1419" s="3">
        <v>45580</v>
      </c>
      <c r="B1419" s="4">
        <v>2024</v>
      </c>
      <c r="C1419" s="5">
        <v>1630</v>
      </c>
      <c r="D1419" s="5">
        <v>1630</v>
      </c>
      <c r="E1419" s="5">
        <v>1590</v>
      </c>
      <c r="F1419" s="5">
        <v>1600</v>
      </c>
      <c r="G1419" s="5">
        <v>1524.11</v>
      </c>
      <c r="H1419" s="6">
        <v>131950900</v>
      </c>
      <c r="I1419" s="22" t="str">
        <f t="shared" si="143"/>
        <v>-</v>
      </c>
      <c r="J1419" s="7">
        <f t="shared" si="144"/>
        <v>-1.8404907975460123</v>
      </c>
      <c r="K1419" s="7">
        <f t="shared" si="145"/>
        <v>-23.970307424065897</v>
      </c>
      <c r="L1419" s="2" t="str">
        <f t="shared" si="140"/>
        <v>Normal</v>
      </c>
      <c r="M1419" s="2" t="str">
        <f t="shared" si="141"/>
        <v>Normal</v>
      </c>
      <c r="N1419" s="2" t="str">
        <f t="shared" si="142"/>
        <v>No</v>
      </c>
    </row>
    <row r="1420" spans="1:14" x14ac:dyDescent="0.25">
      <c r="A1420" s="3">
        <v>45581</v>
      </c>
      <c r="B1420" s="4">
        <v>2024</v>
      </c>
      <c r="C1420" s="5">
        <v>1600</v>
      </c>
      <c r="D1420" s="5">
        <v>1600</v>
      </c>
      <c r="E1420" s="5">
        <v>1570</v>
      </c>
      <c r="F1420" s="5">
        <v>1570</v>
      </c>
      <c r="G1420" s="5">
        <v>1495.54</v>
      </c>
      <c r="H1420" s="6">
        <v>89196200</v>
      </c>
      <c r="I1420" s="22" t="str">
        <f t="shared" si="143"/>
        <v>-</v>
      </c>
      <c r="J1420" s="7">
        <f t="shared" si="144"/>
        <v>-1.875</v>
      </c>
      <c r="K1420" s="7">
        <f t="shared" si="145"/>
        <v>-32.401976795914237</v>
      </c>
      <c r="L1420" s="2" t="str">
        <f t="shared" si="140"/>
        <v>Normal</v>
      </c>
      <c r="M1420" s="2" t="str">
        <f t="shared" si="141"/>
        <v>Normal</v>
      </c>
      <c r="N1420" s="2" t="str">
        <f t="shared" si="142"/>
        <v>No</v>
      </c>
    </row>
    <row r="1421" spans="1:14" x14ac:dyDescent="0.25">
      <c r="A1421" s="3">
        <v>45582</v>
      </c>
      <c r="B1421" s="4">
        <v>2024</v>
      </c>
      <c r="C1421" s="5">
        <v>1585</v>
      </c>
      <c r="D1421" s="5">
        <v>1625</v>
      </c>
      <c r="E1421" s="5">
        <v>1570</v>
      </c>
      <c r="F1421" s="5">
        <v>1620</v>
      </c>
      <c r="G1421" s="5">
        <v>1543.17</v>
      </c>
      <c r="H1421" s="6">
        <v>103812400</v>
      </c>
      <c r="I1421" s="22" t="str">
        <f t="shared" si="143"/>
        <v>+</v>
      </c>
      <c r="J1421" s="7">
        <f t="shared" si="144"/>
        <v>3.1847133757961785</v>
      </c>
      <c r="K1421" s="7">
        <f t="shared" si="145"/>
        <v>16.386572522147805</v>
      </c>
      <c r="L1421" s="2" t="str">
        <f t="shared" si="140"/>
        <v>Normal</v>
      </c>
      <c r="M1421" s="2" t="str">
        <f t="shared" si="141"/>
        <v>Normal</v>
      </c>
      <c r="N1421" s="2" t="str">
        <f t="shared" si="142"/>
        <v>No</v>
      </c>
    </row>
    <row r="1422" spans="1:14" x14ac:dyDescent="0.25">
      <c r="A1422" s="3">
        <v>45583</v>
      </c>
      <c r="B1422" s="4">
        <v>2024</v>
      </c>
      <c r="C1422" s="5">
        <v>1630</v>
      </c>
      <c r="D1422" s="5">
        <v>1635</v>
      </c>
      <c r="E1422" s="5">
        <v>1605</v>
      </c>
      <c r="F1422" s="5">
        <v>1625</v>
      </c>
      <c r="G1422" s="5">
        <v>1547.93</v>
      </c>
      <c r="H1422" s="6">
        <v>83020900</v>
      </c>
      <c r="I1422" s="22" t="str">
        <f t="shared" si="143"/>
        <v>+</v>
      </c>
      <c r="J1422" s="7">
        <f t="shared" si="144"/>
        <v>0.30864197530864196</v>
      </c>
      <c r="K1422" s="7">
        <f t="shared" si="145"/>
        <v>-20.02795427135872</v>
      </c>
      <c r="L1422" s="2" t="str">
        <f t="shared" si="140"/>
        <v>Normal</v>
      </c>
      <c r="M1422" s="2" t="str">
        <f t="shared" si="141"/>
        <v>Normal</v>
      </c>
      <c r="N1422" s="2" t="str">
        <f t="shared" si="142"/>
        <v>No</v>
      </c>
    </row>
    <row r="1423" spans="1:14" x14ac:dyDescent="0.25">
      <c r="A1423" s="3">
        <v>45586</v>
      </c>
      <c r="B1423" s="4">
        <v>2024</v>
      </c>
      <c r="C1423" s="5">
        <v>1645</v>
      </c>
      <c r="D1423" s="5">
        <v>1765</v>
      </c>
      <c r="E1423" s="5">
        <v>1640</v>
      </c>
      <c r="F1423" s="5">
        <v>1690</v>
      </c>
      <c r="G1423" s="5">
        <v>1609.85</v>
      </c>
      <c r="H1423" s="6">
        <v>243375700</v>
      </c>
      <c r="I1423" s="22" t="str">
        <f t="shared" si="143"/>
        <v>+</v>
      </c>
      <c r="J1423" s="7">
        <f t="shared" si="144"/>
        <v>4</v>
      </c>
      <c r="K1423" s="7">
        <f t="shared" si="145"/>
        <v>193.14991767133336</v>
      </c>
      <c r="L1423" s="2" t="str">
        <f t="shared" si="140"/>
        <v>Normal</v>
      </c>
      <c r="M1423" s="2" t="str">
        <f t="shared" si="141"/>
        <v>Sharp Volume Increase</v>
      </c>
      <c r="N1423" s="2" t="str">
        <f t="shared" si="142"/>
        <v>No</v>
      </c>
    </row>
    <row r="1424" spans="1:14" x14ac:dyDescent="0.25">
      <c r="A1424" s="3">
        <v>45587</v>
      </c>
      <c r="B1424" s="4">
        <v>2024</v>
      </c>
      <c r="C1424" s="5">
        <v>1695</v>
      </c>
      <c r="D1424" s="5">
        <v>1700</v>
      </c>
      <c r="E1424" s="5">
        <v>1660</v>
      </c>
      <c r="F1424" s="5">
        <v>1670</v>
      </c>
      <c r="G1424" s="5">
        <v>1590.79</v>
      </c>
      <c r="H1424" s="6">
        <v>87540600</v>
      </c>
      <c r="I1424" s="22" t="str">
        <f t="shared" si="143"/>
        <v>-</v>
      </c>
      <c r="J1424" s="7">
        <f t="shared" si="144"/>
        <v>-1.1834319526627219</v>
      </c>
      <c r="K1424" s="7">
        <f t="shared" si="145"/>
        <v>-64.030673563548049</v>
      </c>
      <c r="L1424" s="2" t="str">
        <f t="shared" si="140"/>
        <v>Normal</v>
      </c>
      <c r="M1424" s="2" t="str">
        <f t="shared" si="141"/>
        <v>Sharp Volume Decrease</v>
      </c>
      <c r="N1424" s="2" t="str">
        <f t="shared" si="142"/>
        <v>No</v>
      </c>
    </row>
    <row r="1425" spans="1:14" x14ac:dyDescent="0.25">
      <c r="A1425" s="3">
        <v>45588</v>
      </c>
      <c r="B1425" s="4">
        <v>2024</v>
      </c>
      <c r="C1425" s="5">
        <v>1680</v>
      </c>
      <c r="D1425" s="5">
        <v>1685</v>
      </c>
      <c r="E1425" s="5">
        <v>1640</v>
      </c>
      <c r="F1425" s="5">
        <v>1650</v>
      </c>
      <c r="G1425" s="5">
        <v>1571.74</v>
      </c>
      <c r="H1425" s="6">
        <v>66120100</v>
      </c>
      <c r="I1425" s="22" t="str">
        <f t="shared" si="143"/>
        <v>-</v>
      </c>
      <c r="J1425" s="7">
        <f t="shared" si="144"/>
        <v>-1.1976047904191618</v>
      </c>
      <c r="K1425" s="7">
        <f t="shared" si="145"/>
        <v>-24.469217711553267</v>
      </c>
      <c r="L1425" s="2" t="str">
        <f t="shared" si="140"/>
        <v>Normal</v>
      </c>
      <c r="M1425" s="2" t="str">
        <f t="shared" si="141"/>
        <v>Normal</v>
      </c>
      <c r="N1425" s="2" t="str">
        <f t="shared" si="142"/>
        <v>No</v>
      </c>
    </row>
    <row r="1426" spans="1:14" x14ac:dyDescent="0.25">
      <c r="A1426" s="3">
        <v>45589</v>
      </c>
      <c r="B1426" s="4">
        <v>2024</v>
      </c>
      <c r="C1426" s="5">
        <v>1640</v>
      </c>
      <c r="D1426" s="5">
        <v>1650</v>
      </c>
      <c r="E1426" s="5">
        <v>1620</v>
      </c>
      <c r="F1426" s="5">
        <v>1620</v>
      </c>
      <c r="G1426" s="5">
        <v>1543.17</v>
      </c>
      <c r="H1426" s="6">
        <v>55964600</v>
      </c>
      <c r="I1426" s="22" t="str">
        <f t="shared" si="143"/>
        <v>-</v>
      </c>
      <c r="J1426" s="7">
        <f t="shared" si="144"/>
        <v>-1.8181818181818181</v>
      </c>
      <c r="K1426" s="7">
        <f t="shared" si="145"/>
        <v>-15.359172173060839</v>
      </c>
      <c r="L1426" s="2" t="str">
        <f t="shared" si="140"/>
        <v>Normal</v>
      </c>
      <c r="M1426" s="2" t="str">
        <f t="shared" si="141"/>
        <v>Normal</v>
      </c>
      <c r="N1426" s="2" t="str">
        <f t="shared" si="142"/>
        <v>No</v>
      </c>
    </row>
    <row r="1427" spans="1:14" x14ac:dyDescent="0.25">
      <c r="A1427" s="3">
        <v>45590</v>
      </c>
      <c r="B1427" s="4">
        <v>2024</v>
      </c>
      <c r="C1427" s="5">
        <v>1620</v>
      </c>
      <c r="D1427" s="5">
        <v>1655</v>
      </c>
      <c r="E1427" s="5">
        <v>1585</v>
      </c>
      <c r="F1427" s="5">
        <v>1585</v>
      </c>
      <c r="G1427" s="5">
        <v>1509.83</v>
      </c>
      <c r="H1427" s="6">
        <v>84326300</v>
      </c>
      <c r="I1427" s="22" t="str">
        <f t="shared" si="143"/>
        <v>-</v>
      </c>
      <c r="J1427" s="7">
        <f t="shared" si="144"/>
        <v>-2.1604938271604937</v>
      </c>
      <c r="K1427" s="7">
        <f t="shared" si="145"/>
        <v>50.677928547689078</v>
      </c>
      <c r="L1427" s="2" t="str">
        <f t="shared" si="140"/>
        <v>Normal</v>
      </c>
      <c r="M1427" s="2" t="str">
        <f t="shared" si="141"/>
        <v>Normal</v>
      </c>
      <c r="N1427" s="2" t="str">
        <f t="shared" si="142"/>
        <v>No</v>
      </c>
    </row>
    <row r="1428" spans="1:14" x14ac:dyDescent="0.25">
      <c r="A1428" s="3">
        <v>45593</v>
      </c>
      <c r="B1428" s="4">
        <v>2024</v>
      </c>
      <c r="C1428" s="5">
        <v>1590</v>
      </c>
      <c r="D1428" s="5">
        <v>1640</v>
      </c>
      <c r="E1428" s="5">
        <v>1590</v>
      </c>
      <c r="F1428" s="5">
        <v>1610</v>
      </c>
      <c r="G1428" s="5">
        <v>1533.64</v>
      </c>
      <c r="H1428" s="6">
        <v>75462300</v>
      </c>
      <c r="I1428" s="22" t="str">
        <f t="shared" si="143"/>
        <v>+</v>
      </c>
      <c r="J1428" s="7">
        <f t="shared" si="144"/>
        <v>1.5772870662460567</v>
      </c>
      <c r="K1428" s="7">
        <f t="shared" si="145"/>
        <v>-10.511548591601908</v>
      </c>
      <c r="L1428" s="2" t="str">
        <f t="shared" si="140"/>
        <v>Normal</v>
      </c>
      <c r="M1428" s="2" t="str">
        <f t="shared" si="141"/>
        <v>Normal</v>
      </c>
      <c r="N1428" s="2" t="str">
        <f t="shared" si="142"/>
        <v>No</v>
      </c>
    </row>
    <row r="1429" spans="1:14" x14ac:dyDescent="0.25">
      <c r="A1429" s="3">
        <v>45594</v>
      </c>
      <c r="B1429" s="4">
        <v>2024</v>
      </c>
      <c r="C1429" s="5">
        <v>1620</v>
      </c>
      <c r="D1429" s="5">
        <v>1625</v>
      </c>
      <c r="E1429" s="5">
        <v>1595</v>
      </c>
      <c r="F1429" s="5">
        <v>1615</v>
      </c>
      <c r="G1429" s="5">
        <v>1538.4</v>
      </c>
      <c r="H1429" s="6">
        <v>50332700</v>
      </c>
      <c r="I1429" s="22" t="str">
        <f t="shared" si="143"/>
        <v>+</v>
      </c>
      <c r="J1429" s="7">
        <f t="shared" si="144"/>
        <v>0.3105590062111801</v>
      </c>
      <c r="K1429" s="7">
        <f t="shared" si="145"/>
        <v>-33.300866790437077</v>
      </c>
      <c r="L1429" s="2" t="str">
        <f t="shared" si="140"/>
        <v>Normal</v>
      </c>
      <c r="M1429" s="2" t="str">
        <f t="shared" si="141"/>
        <v>Normal</v>
      </c>
      <c r="N1429" s="2" t="str">
        <f t="shared" si="142"/>
        <v>No</v>
      </c>
    </row>
    <row r="1430" spans="1:14" x14ac:dyDescent="0.25">
      <c r="A1430" s="3">
        <v>45595</v>
      </c>
      <c r="B1430" s="4">
        <v>2024</v>
      </c>
      <c r="C1430" s="5">
        <v>1620</v>
      </c>
      <c r="D1430" s="5">
        <v>1650</v>
      </c>
      <c r="E1430" s="5">
        <v>1610</v>
      </c>
      <c r="F1430" s="5">
        <v>1630</v>
      </c>
      <c r="G1430" s="5">
        <v>1552.69</v>
      </c>
      <c r="H1430" s="6">
        <v>114888200</v>
      </c>
      <c r="I1430" s="22" t="str">
        <f t="shared" si="143"/>
        <v>+</v>
      </c>
      <c r="J1430" s="7">
        <f t="shared" si="144"/>
        <v>0.92879256965944268</v>
      </c>
      <c r="K1430" s="7">
        <f t="shared" si="145"/>
        <v>128.25757410192577</v>
      </c>
      <c r="L1430" s="2" t="str">
        <f t="shared" si="140"/>
        <v>Normal</v>
      </c>
      <c r="M1430" s="2" t="str">
        <f t="shared" si="141"/>
        <v>Normal</v>
      </c>
      <c r="N1430" s="2" t="str">
        <f t="shared" si="142"/>
        <v>No</v>
      </c>
    </row>
    <row r="1431" spans="1:14" x14ac:dyDescent="0.25">
      <c r="A1431" s="3">
        <v>45596</v>
      </c>
      <c r="B1431" s="4">
        <v>2024</v>
      </c>
      <c r="C1431" s="5">
        <v>1605</v>
      </c>
      <c r="D1431" s="5">
        <v>1605</v>
      </c>
      <c r="E1431" s="5">
        <v>1540</v>
      </c>
      <c r="F1431" s="5">
        <v>1600</v>
      </c>
      <c r="G1431" s="5">
        <v>1524.11</v>
      </c>
      <c r="H1431" s="6">
        <v>219900400</v>
      </c>
      <c r="I1431" s="22" t="str">
        <f t="shared" si="143"/>
        <v>-</v>
      </c>
      <c r="J1431" s="7">
        <f t="shared" si="144"/>
        <v>-1.8404907975460123</v>
      </c>
      <c r="K1431" s="7">
        <f t="shared" si="145"/>
        <v>91.403816928109237</v>
      </c>
      <c r="L1431" s="2" t="str">
        <f t="shared" si="140"/>
        <v>Normal</v>
      </c>
      <c r="M1431" s="2" t="str">
        <f t="shared" si="141"/>
        <v>Normal</v>
      </c>
      <c r="N1431" s="2" t="str">
        <f t="shared" si="142"/>
        <v>No</v>
      </c>
    </row>
    <row r="1432" spans="1:14" x14ac:dyDescent="0.25">
      <c r="A1432" s="3">
        <v>45597</v>
      </c>
      <c r="B1432" s="4">
        <v>2024</v>
      </c>
      <c r="C1432" s="5">
        <v>1590</v>
      </c>
      <c r="D1432" s="5">
        <v>1590</v>
      </c>
      <c r="E1432" s="5">
        <v>1515</v>
      </c>
      <c r="F1432" s="5">
        <v>1520</v>
      </c>
      <c r="G1432" s="5">
        <v>1447.91</v>
      </c>
      <c r="H1432" s="6">
        <v>86562200</v>
      </c>
      <c r="I1432" s="22" t="str">
        <f t="shared" si="143"/>
        <v>-</v>
      </c>
      <c r="J1432" s="7">
        <f t="shared" si="144"/>
        <v>-5</v>
      </c>
      <c r="K1432" s="7">
        <f t="shared" si="145"/>
        <v>-60.635724173307551</v>
      </c>
      <c r="L1432" s="2" t="str">
        <f t="shared" si="140"/>
        <v>Sharp Price Decrease</v>
      </c>
      <c r="M1432" s="2" t="str">
        <f t="shared" si="141"/>
        <v>Sharp Volume Decrease</v>
      </c>
      <c r="N1432" s="2" t="str">
        <f t="shared" si="142"/>
        <v>Yes</v>
      </c>
    </row>
    <row r="1433" spans="1:14" x14ac:dyDescent="0.25">
      <c r="A1433" s="3">
        <v>45600</v>
      </c>
      <c r="B1433" s="4">
        <v>2024</v>
      </c>
      <c r="C1433" s="5">
        <v>1520</v>
      </c>
      <c r="D1433" s="5">
        <v>1560</v>
      </c>
      <c r="E1433" s="5">
        <v>1480</v>
      </c>
      <c r="F1433" s="5">
        <v>1525</v>
      </c>
      <c r="G1433" s="5">
        <v>1452.67</v>
      </c>
      <c r="H1433" s="6">
        <v>90822600</v>
      </c>
      <c r="I1433" s="22" t="str">
        <f t="shared" si="143"/>
        <v>+</v>
      </c>
      <c r="J1433" s="7">
        <f t="shared" si="144"/>
        <v>0.3289473684210526</v>
      </c>
      <c r="K1433" s="7">
        <f t="shared" si="145"/>
        <v>4.9217787902802836</v>
      </c>
      <c r="L1433" s="2" t="str">
        <f t="shared" si="140"/>
        <v>Normal</v>
      </c>
      <c r="M1433" s="2" t="str">
        <f t="shared" si="141"/>
        <v>Normal</v>
      </c>
      <c r="N1433" s="2" t="str">
        <f t="shared" si="142"/>
        <v>No</v>
      </c>
    </row>
    <row r="1434" spans="1:14" x14ac:dyDescent="0.25">
      <c r="A1434" s="3">
        <v>45601</v>
      </c>
      <c r="B1434" s="4">
        <v>2024</v>
      </c>
      <c r="C1434" s="5">
        <v>1525</v>
      </c>
      <c r="D1434" s="5">
        <v>1575</v>
      </c>
      <c r="E1434" s="5">
        <v>1525</v>
      </c>
      <c r="F1434" s="5">
        <v>1575</v>
      </c>
      <c r="G1434" s="5">
        <v>1500.3</v>
      </c>
      <c r="H1434" s="6">
        <v>113169500</v>
      </c>
      <c r="I1434" s="22" t="str">
        <f t="shared" si="143"/>
        <v>+</v>
      </c>
      <c r="J1434" s="7">
        <f t="shared" si="144"/>
        <v>3.278688524590164</v>
      </c>
      <c r="K1434" s="7">
        <f t="shared" si="145"/>
        <v>24.604999196235298</v>
      </c>
      <c r="L1434" s="2" t="str">
        <f t="shared" si="140"/>
        <v>Normal</v>
      </c>
      <c r="M1434" s="2" t="str">
        <f t="shared" si="141"/>
        <v>Normal</v>
      </c>
      <c r="N1434" s="2" t="str">
        <f t="shared" si="142"/>
        <v>No</v>
      </c>
    </row>
    <row r="1435" spans="1:14" x14ac:dyDescent="0.25">
      <c r="A1435" s="3">
        <v>45602</v>
      </c>
      <c r="B1435" s="4">
        <v>2024</v>
      </c>
      <c r="C1435" s="5">
        <v>1575</v>
      </c>
      <c r="D1435" s="5">
        <v>1590</v>
      </c>
      <c r="E1435" s="5">
        <v>1530</v>
      </c>
      <c r="F1435" s="5">
        <v>1540</v>
      </c>
      <c r="G1435" s="5">
        <v>1466.96</v>
      </c>
      <c r="H1435" s="6">
        <v>70410300</v>
      </c>
      <c r="I1435" s="22" t="str">
        <f t="shared" si="143"/>
        <v>-</v>
      </c>
      <c r="J1435" s="7">
        <f t="shared" si="144"/>
        <v>-2.2222222222222223</v>
      </c>
      <c r="K1435" s="7">
        <f t="shared" si="145"/>
        <v>-37.783325012481278</v>
      </c>
      <c r="L1435" s="2" t="str">
        <f t="shared" si="140"/>
        <v>Normal</v>
      </c>
      <c r="M1435" s="2" t="str">
        <f t="shared" si="141"/>
        <v>Normal</v>
      </c>
      <c r="N1435" s="2" t="str">
        <f t="shared" si="142"/>
        <v>No</v>
      </c>
    </row>
    <row r="1436" spans="1:14" x14ac:dyDescent="0.25">
      <c r="A1436" s="3">
        <v>45603</v>
      </c>
      <c r="B1436" s="4">
        <v>2024</v>
      </c>
      <c r="C1436" s="5">
        <v>1520</v>
      </c>
      <c r="D1436" s="5">
        <v>1580</v>
      </c>
      <c r="E1436" s="5">
        <v>1480</v>
      </c>
      <c r="F1436" s="5">
        <v>1575</v>
      </c>
      <c r="G1436" s="5">
        <v>1500.3</v>
      </c>
      <c r="H1436" s="6">
        <v>119230900</v>
      </c>
      <c r="I1436" s="22" t="str">
        <f t="shared" si="143"/>
        <v>+</v>
      </c>
      <c r="J1436" s="7">
        <f t="shared" si="144"/>
        <v>2.2727272727272729</v>
      </c>
      <c r="K1436" s="7">
        <f t="shared" si="145"/>
        <v>69.337298662269589</v>
      </c>
      <c r="L1436" s="2" t="str">
        <f t="shared" si="140"/>
        <v>Normal</v>
      </c>
      <c r="M1436" s="2" t="str">
        <f t="shared" si="141"/>
        <v>Normal</v>
      </c>
      <c r="N1436" s="2" t="str">
        <f t="shared" si="142"/>
        <v>No</v>
      </c>
    </row>
    <row r="1437" spans="1:14" x14ac:dyDescent="0.25">
      <c r="A1437" s="3">
        <v>45604</v>
      </c>
      <c r="B1437" s="4">
        <v>2024</v>
      </c>
      <c r="C1437" s="5">
        <v>1595</v>
      </c>
      <c r="D1437" s="5">
        <v>1610</v>
      </c>
      <c r="E1437" s="5">
        <v>1565</v>
      </c>
      <c r="F1437" s="5">
        <v>1585</v>
      </c>
      <c r="G1437" s="5">
        <v>1509.83</v>
      </c>
      <c r="H1437" s="6">
        <v>61159000</v>
      </c>
      <c r="I1437" s="22" t="str">
        <f t="shared" si="143"/>
        <v>+</v>
      </c>
      <c r="J1437" s="7">
        <f t="shared" si="144"/>
        <v>0.63492063492063489</v>
      </c>
      <c r="K1437" s="7">
        <f t="shared" si="145"/>
        <v>-48.705411097291055</v>
      </c>
      <c r="L1437" s="2" t="str">
        <f t="shared" si="140"/>
        <v>Normal</v>
      </c>
      <c r="M1437" s="2" t="str">
        <f t="shared" si="141"/>
        <v>Normal</v>
      </c>
      <c r="N1437" s="2" t="str">
        <f t="shared" si="142"/>
        <v>No</v>
      </c>
    </row>
    <row r="1438" spans="1:14" x14ac:dyDescent="0.25">
      <c r="A1438" s="3">
        <v>45607</v>
      </c>
      <c r="B1438" s="4">
        <v>2024</v>
      </c>
      <c r="C1438" s="5">
        <v>1580</v>
      </c>
      <c r="D1438" s="5">
        <v>1580</v>
      </c>
      <c r="E1438" s="5">
        <v>1515</v>
      </c>
      <c r="F1438" s="5">
        <v>1530</v>
      </c>
      <c r="G1438" s="5">
        <v>1457.43</v>
      </c>
      <c r="H1438" s="6">
        <v>49021500</v>
      </c>
      <c r="I1438" s="22" t="str">
        <f t="shared" si="143"/>
        <v>-</v>
      </c>
      <c r="J1438" s="7">
        <f t="shared" si="144"/>
        <v>-3.4700315457413247</v>
      </c>
      <c r="K1438" s="7">
        <f t="shared" si="145"/>
        <v>-19.845811736620938</v>
      </c>
      <c r="L1438" s="2" t="str">
        <f t="shared" si="140"/>
        <v>Normal</v>
      </c>
      <c r="M1438" s="2" t="str">
        <f t="shared" si="141"/>
        <v>Normal</v>
      </c>
      <c r="N1438" s="2" t="str">
        <f t="shared" si="142"/>
        <v>No</v>
      </c>
    </row>
    <row r="1439" spans="1:14" x14ac:dyDescent="0.25">
      <c r="A1439" s="3">
        <v>45608</v>
      </c>
      <c r="B1439" s="4">
        <v>2024</v>
      </c>
      <c r="C1439" s="5">
        <v>1510</v>
      </c>
      <c r="D1439" s="5">
        <v>1565</v>
      </c>
      <c r="E1439" s="5">
        <v>1510</v>
      </c>
      <c r="F1439" s="5">
        <v>1565</v>
      </c>
      <c r="G1439" s="5">
        <v>1490.77</v>
      </c>
      <c r="H1439" s="6">
        <v>50902500</v>
      </c>
      <c r="I1439" s="22" t="str">
        <f t="shared" si="143"/>
        <v>+</v>
      </c>
      <c r="J1439" s="7">
        <f t="shared" si="144"/>
        <v>2.2875816993464051</v>
      </c>
      <c r="K1439" s="7">
        <f t="shared" si="145"/>
        <v>3.8370918882531138</v>
      </c>
      <c r="L1439" s="2" t="str">
        <f t="shared" si="140"/>
        <v>Normal</v>
      </c>
      <c r="M1439" s="2" t="str">
        <f t="shared" si="141"/>
        <v>Normal</v>
      </c>
      <c r="N1439" s="2" t="str">
        <f t="shared" si="142"/>
        <v>No</v>
      </c>
    </row>
    <row r="1440" spans="1:14" x14ac:dyDescent="0.25">
      <c r="A1440" s="3">
        <v>45609</v>
      </c>
      <c r="B1440" s="4">
        <v>2024</v>
      </c>
      <c r="C1440" s="5">
        <v>1560</v>
      </c>
      <c r="D1440" s="5">
        <v>1560</v>
      </c>
      <c r="E1440" s="5">
        <v>1495</v>
      </c>
      <c r="F1440" s="5">
        <v>1500</v>
      </c>
      <c r="G1440" s="5">
        <v>1428.86</v>
      </c>
      <c r="H1440" s="6">
        <v>52007900</v>
      </c>
      <c r="I1440" s="22" t="str">
        <f t="shared" si="143"/>
        <v>-</v>
      </c>
      <c r="J1440" s="7">
        <f t="shared" si="144"/>
        <v>-4.1533546325878596</v>
      </c>
      <c r="K1440" s="7">
        <f t="shared" si="145"/>
        <v>2.1716025735474682</v>
      </c>
      <c r="L1440" s="2" t="str">
        <f t="shared" si="140"/>
        <v>Normal</v>
      </c>
      <c r="M1440" s="2" t="str">
        <f t="shared" si="141"/>
        <v>Normal</v>
      </c>
      <c r="N1440" s="2" t="str">
        <f t="shared" si="142"/>
        <v>No</v>
      </c>
    </row>
    <row r="1441" spans="1:14" x14ac:dyDescent="0.25">
      <c r="A1441" s="3">
        <v>45610</v>
      </c>
      <c r="B1441" s="4">
        <v>2024</v>
      </c>
      <c r="C1441" s="5">
        <v>1500</v>
      </c>
      <c r="D1441" s="5">
        <v>1500</v>
      </c>
      <c r="E1441" s="5">
        <v>1455</v>
      </c>
      <c r="F1441" s="5">
        <v>1480</v>
      </c>
      <c r="G1441" s="5">
        <v>1409.81</v>
      </c>
      <c r="H1441" s="6">
        <v>63863000</v>
      </c>
      <c r="I1441" s="22" t="str">
        <f t="shared" si="143"/>
        <v>-</v>
      </c>
      <c r="J1441" s="7">
        <f t="shared" si="144"/>
        <v>-1.3333333333333335</v>
      </c>
      <c r="K1441" s="7">
        <f t="shared" si="145"/>
        <v>22.794806173677458</v>
      </c>
      <c r="L1441" s="2" t="str">
        <f t="shared" si="140"/>
        <v>Normal</v>
      </c>
      <c r="M1441" s="2" t="str">
        <f t="shared" si="141"/>
        <v>Normal</v>
      </c>
      <c r="N1441" s="2" t="str">
        <f t="shared" si="142"/>
        <v>No</v>
      </c>
    </row>
    <row r="1442" spans="1:14" x14ac:dyDescent="0.25">
      <c r="A1442" s="3">
        <v>45611</v>
      </c>
      <c r="B1442" s="4">
        <v>2024</v>
      </c>
      <c r="C1442" s="5">
        <v>1470</v>
      </c>
      <c r="D1442" s="5">
        <v>1480</v>
      </c>
      <c r="E1442" s="5">
        <v>1385</v>
      </c>
      <c r="F1442" s="5">
        <v>1400</v>
      </c>
      <c r="G1442" s="5">
        <v>1333.6</v>
      </c>
      <c r="H1442" s="6">
        <v>99868300</v>
      </c>
      <c r="I1442" s="22" t="str">
        <f t="shared" si="143"/>
        <v>-</v>
      </c>
      <c r="J1442" s="7">
        <f t="shared" si="144"/>
        <v>-5.4054054054054053</v>
      </c>
      <c r="K1442" s="7">
        <f t="shared" si="145"/>
        <v>56.378967477256005</v>
      </c>
      <c r="L1442" s="2" t="str">
        <f t="shared" si="140"/>
        <v>Sharp Price Decrease</v>
      </c>
      <c r="M1442" s="2" t="str">
        <f t="shared" si="141"/>
        <v>Normal</v>
      </c>
      <c r="N1442" s="2" t="str">
        <f t="shared" si="142"/>
        <v>No</v>
      </c>
    </row>
    <row r="1443" spans="1:14" x14ac:dyDescent="0.25">
      <c r="A1443" s="3">
        <v>45614</v>
      </c>
      <c r="B1443" s="4">
        <v>2024</v>
      </c>
      <c r="C1443" s="5">
        <v>1405</v>
      </c>
      <c r="D1443" s="5">
        <v>1425</v>
      </c>
      <c r="E1443" s="5">
        <v>1395</v>
      </c>
      <c r="F1443" s="5">
        <v>1395</v>
      </c>
      <c r="G1443" s="5">
        <v>1328.84</v>
      </c>
      <c r="H1443" s="6">
        <v>32739700</v>
      </c>
      <c r="I1443" s="22" t="str">
        <f t="shared" si="143"/>
        <v>-</v>
      </c>
      <c r="J1443" s="7">
        <f t="shared" si="144"/>
        <v>-0.35714285714285715</v>
      </c>
      <c r="K1443" s="7">
        <f t="shared" si="145"/>
        <v>-67.21712495356384</v>
      </c>
      <c r="L1443" s="2" t="str">
        <f t="shared" si="140"/>
        <v>Normal</v>
      </c>
      <c r="M1443" s="2" t="str">
        <f t="shared" si="141"/>
        <v>Sharp Volume Decrease</v>
      </c>
      <c r="N1443" s="2" t="str">
        <f t="shared" si="142"/>
        <v>No</v>
      </c>
    </row>
    <row r="1444" spans="1:14" x14ac:dyDescent="0.25">
      <c r="A1444" s="3">
        <v>45615</v>
      </c>
      <c r="B1444" s="4">
        <v>2024</v>
      </c>
      <c r="C1444" s="5">
        <v>1410</v>
      </c>
      <c r="D1444" s="5">
        <v>1485</v>
      </c>
      <c r="E1444" s="5">
        <v>1410</v>
      </c>
      <c r="F1444" s="5">
        <v>1475</v>
      </c>
      <c r="G1444" s="5">
        <v>1405.04</v>
      </c>
      <c r="H1444" s="6">
        <v>82940100</v>
      </c>
      <c r="I1444" s="22" t="str">
        <f t="shared" si="143"/>
        <v>+</v>
      </c>
      <c r="J1444" s="7">
        <f t="shared" si="144"/>
        <v>5.7347670250896057</v>
      </c>
      <c r="K1444" s="7">
        <f t="shared" si="145"/>
        <v>153.33188758601941</v>
      </c>
      <c r="L1444" s="2" t="str">
        <f t="shared" si="140"/>
        <v>Sharp Price Increase</v>
      </c>
      <c r="M1444" s="2" t="str">
        <f t="shared" si="141"/>
        <v>Normal</v>
      </c>
      <c r="N1444" s="2" t="str">
        <f t="shared" si="142"/>
        <v>No</v>
      </c>
    </row>
    <row r="1445" spans="1:14" x14ac:dyDescent="0.25">
      <c r="A1445" s="3">
        <v>45616</v>
      </c>
      <c r="B1445" s="4">
        <v>2024</v>
      </c>
      <c r="C1445" s="5">
        <v>1490</v>
      </c>
      <c r="D1445" s="5">
        <v>1510</v>
      </c>
      <c r="E1445" s="5">
        <v>1460</v>
      </c>
      <c r="F1445" s="5">
        <v>1470</v>
      </c>
      <c r="G1445" s="5">
        <v>1400.28</v>
      </c>
      <c r="H1445" s="6">
        <v>63724300</v>
      </c>
      <c r="I1445" s="22" t="str">
        <f t="shared" si="143"/>
        <v>-</v>
      </c>
      <c r="J1445" s="7">
        <f t="shared" si="144"/>
        <v>-0.33898305084745761</v>
      </c>
      <c r="K1445" s="7">
        <f t="shared" si="145"/>
        <v>-23.168286510385204</v>
      </c>
      <c r="L1445" s="2" t="str">
        <f t="shared" si="140"/>
        <v>Normal</v>
      </c>
      <c r="M1445" s="2" t="str">
        <f t="shared" si="141"/>
        <v>Normal</v>
      </c>
      <c r="N1445" s="2" t="str">
        <f t="shared" si="142"/>
        <v>No</v>
      </c>
    </row>
    <row r="1446" spans="1:14" x14ac:dyDescent="0.25">
      <c r="A1446" s="3">
        <v>45617</v>
      </c>
      <c r="B1446" s="4">
        <v>2024</v>
      </c>
      <c r="C1446" s="5">
        <v>1475</v>
      </c>
      <c r="D1446" s="5">
        <v>1500</v>
      </c>
      <c r="E1446" s="5">
        <v>1465</v>
      </c>
      <c r="F1446" s="5">
        <v>1490</v>
      </c>
      <c r="G1446" s="5">
        <v>1419.33</v>
      </c>
      <c r="H1446" s="6">
        <v>47253500</v>
      </c>
      <c r="I1446" s="22" t="str">
        <f t="shared" si="143"/>
        <v>+</v>
      </c>
      <c r="J1446" s="7">
        <f t="shared" si="144"/>
        <v>1.3605442176870748</v>
      </c>
      <c r="K1446" s="7">
        <f t="shared" si="145"/>
        <v>-25.846968895695994</v>
      </c>
      <c r="L1446" s="2" t="str">
        <f t="shared" si="140"/>
        <v>Normal</v>
      </c>
      <c r="M1446" s="2" t="str">
        <f t="shared" si="141"/>
        <v>Normal</v>
      </c>
      <c r="N1446" s="2" t="str">
        <f t="shared" si="142"/>
        <v>No</v>
      </c>
    </row>
    <row r="1447" spans="1:14" x14ac:dyDescent="0.25">
      <c r="A1447" s="3">
        <v>45618</v>
      </c>
      <c r="B1447" s="4">
        <v>2024</v>
      </c>
      <c r="C1447" s="5">
        <v>1495</v>
      </c>
      <c r="D1447" s="5">
        <v>1495</v>
      </c>
      <c r="E1447" s="5">
        <v>1450</v>
      </c>
      <c r="F1447" s="5">
        <v>1450</v>
      </c>
      <c r="G1447" s="5">
        <v>1381.23</v>
      </c>
      <c r="H1447" s="6">
        <v>33202000</v>
      </c>
      <c r="I1447" s="22" t="str">
        <f t="shared" si="143"/>
        <v>-</v>
      </c>
      <c r="J1447" s="7">
        <f t="shared" si="144"/>
        <v>-2.6845637583892619</v>
      </c>
      <c r="K1447" s="7">
        <f t="shared" si="145"/>
        <v>-29.736421640725023</v>
      </c>
      <c r="L1447" s="2" t="str">
        <f t="shared" si="140"/>
        <v>Normal</v>
      </c>
      <c r="M1447" s="2" t="str">
        <f t="shared" si="141"/>
        <v>Normal</v>
      </c>
      <c r="N1447" s="2" t="str">
        <f t="shared" si="142"/>
        <v>No</v>
      </c>
    </row>
    <row r="1448" spans="1:14" x14ac:dyDescent="0.25">
      <c r="A1448" s="3">
        <v>45621</v>
      </c>
      <c r="B1448" s="4">
        <v>2024</v>
      </c>
      <c r="C1448" s="5">
        <v>1460</v>
      </c>
      <c r="D1448" s="5">
        <v>1485</v>
      </c>
      <c r="E1448" s="5">
        <v>1435</v>
      </c>
      <c r="F1448" s="5">
        <v>1485</v>
      </c>
      <c r="G1448" s="5">
        <v>1414.57</v>
      </c>
      <c r="H1448" s="6">
        <v>68021900</v>
      </c>
      <c r="I1448" s="22" t="str">
        <f t="shared" si="143"/>
        <v>+</v>
      </c>
      <c r="J1448" s="7">
        <f t="shared" si="144"/>
        <v>2.4137931034482758</v>
      </c>
      <c r="K1448" s="7">
        <f t="shared" si="145"/>
        <v>104.87289922293839</v>
      </c>
      <c r="L1448" s="2" t="str">
        <f t="shared" si="140"/>
        <v>Normal</v>
      </c>
      <c r="M1448" s="2" t="str">
        <f t="shared" si="141"/>
        <v>Normal</v>
      </c>
      <c r="N1448" s="2" t="str">
        <f t="shared" si="142"/>
        <v>No</v>
      </c>
    </row>
    <row r="1449" spans="1:14" x14ac:dyDescent="0.25">
      <c r="A1449" s="3">
        <v>45622</v>
      </c>
      <c r="B1449" s="4">
        <v>2024</v>
      </c>
      <c r="C1449" s="5">
        <v>1485</v>
      </c>
      <c r="D1449" s="5">
        <v>1485</v>
      </c>
      <c r="E1449" s="5">
        <v>1445</v>
      </c>
      <c r="F1449" s="5">
        <v>1450</v>
      </c>
      <c r="G1449" s="5">
        <v>1381.23</v>
      </c>
      <c r="H1449" s="6">
        <v>30282300</v>
      </c>
      <c r="I1449" s="22" t="str">
        <f t="shared" si="143"/>
        <v>-</v>
      </c>
      <c r="J1449" s="7">
        <f t="shared" si="144"/>
        <v>-2.3569023569023568</v>
      </c>
      <c r="K1449" s="7">
        <f t="shared" si="145"/>
        <v>-55.48154344409668</v>
      </c>
      <c r="L1449" s="2" t="str">
        <f t="shared" si="140"/>
        <v>Normal</v>
      </c>
      <c r="M1449" s="2" t="str">
        <f t="shared" si="141"/>
        <v>Normal</v>
      </c>
      <c r="N1449" s="2" t="str">
        <f t="shared" si="142"/>
        <v>No</v>
      </c>
    </row>
    <row r="1450" spans="1:14" x14ac:dyDescent="0.25">
      <c r="A1450" s="3">
        <v>45624</v>
      </c>
      <c r="B1450" s="4">
        <v>2024</v>
      </c>
      <c r="C1450" s="5">
        <v>1455</v>
      </c>
      <c r="D1450" s="5">
        <v>1475</v>
      </c>
      <c r="E1450" s="5">
        <v>1420</v>
      </c>
      <c r="F1450" s="5">
        <v>1420</v>
      </c>
      <c r="G1450" s="5">
        <v>1352.65</v>
      </c>
      <c r="H1450" s="6">
        <v>30730300</v>
      </c>
      <c r="I1450" s="22" t="str">
        <f t="shared" si="143"/>
        <v>-</v>
      </c>
      <c r="J1450" s="7">
        <f t="shared" si="144"/>
        <v>-2.0689655172413794</v>
      </c>
      <c r="K1450" s="7">
        <f t="shared" si="145"/>
        <v>1.4794120657942098</v>
      </c>
      <c r="L1450" s="2" t="str">
        <f t="shared" si="140"/>
        <v>Normal</v>
      </c>
      <c r="M1450" s="2" t="str">
        <f t="shared" si="141"/>
        <v>Normal</v>
      </c>
      <c r="N1450" s="2" t="str">
        <f t="shared" si="142"/>
        <v>No</v>
      </c>
    </row>
    <row r="1451" spans="1:14" x14ac:dyDescent="0.25">
      <c r="A1451" s="3">
        <v>45625</v>
      </c>
      <c r="B1451" s="4">
        <v>2024</v>
      </c>
      <c r="C1451" s="5">
        <v>1420</v>
      </c>
      <c r="D1451" s="5">
        <v>1445</v>
      </c>
      <c r="E1451" s="5">
        <v>1395</v>
      </c>
      <c r="F1451" s="5">
        <v>1430</v>
      </c>
      <c r="G1451" s="5">
        <v>1362.18</v>
      </c>
      <c r="H1451" s="6">
        <v>44703300</v>
      </c>
      <c r="I1451" s="22" t="str">
        <f t="shared" si="143"/>
        <v>+</v>
      </c>
      <c r="J1451" s="7">
        <f t="shared" si="144"/>
        <v>0.70422535211267612</v>
      </c>
      <c r="K1451" s="7">
        <f t="shared" si="145"/>
        <v>45.469780639954706</v>
      </c>
      <c r="L1451" s="2" t="str">
        <f t="shared" si="140"/>
        <v>Normal</v>
      </c>
      <c r="M1451" s="2" t="str">
        <f t="shared" si="141"/>
        <v>Normal</v>
      </c>
      <c r="N1451" s="2" t="str">
        <f t="shared" si="142"/>
        <v>No</v>
      </c>
    </row>
    <row r="1452" spans="1:14" x14ac:dyDescent="0.25">
      <c r="A1452" s="3">
        <v>45628</v>
      </c>
      <c r="B1452" s="4">
        <v>2024</v>
      </c>
      <c r="C1452" s="5">
        <v>1410</v>
      </c>
      <c r="D1452" s="5">
        <v>1435</v>
      </c>
      <c r="E1452" s="5">
        <v>1410</v>
      </c>
      <c r="F1452" s="5">
        <v>1410</v>
      </c>
      <c r="G1452" s="5">
        <v>1343.13</v>
      </c>
      <c r="H1452" s="6">
        <v>28640700</v>
      </c>
      <c r="I1452" s="22" t="str">
        <f t="shared" si="143"/>
        <v>-</v>
      </c>
      <c r="J1452" s="7">
        <f t="shared" si="144"/>
        <v>-1.3986013986013985</v>
      </c>
      <c r="K1452" s="7">
        <f t="shared" si="145"/>
        <v>-35.93157552127024</v>
      </c>
      <c r="L1452" s="2" t="str">
        <f t="shared" si="140"/>
        <v>Normal</v>
      </c>
      <c r="M1452" s="2" t="str">
        <f t="shared" si="141"/>
        <v>Normal</v>
      </c>
      <c r="N1452" s="2" t="str">
        <f t="shared" si="142"/>
        <v>No</v>
      </c>
    </row>
    <row r="1453" spans="1:14" x14ac:dyDescent="0.25">
      <c r="A1453" s="3">
        <v>45629</v>
      </c>
      <c r="B1453" s="4">
        <v>2024</v>
      </c>
      <c r="C1453" s="5">
        <v>1410</v>
      </c>
      <c r="D1453" s="5">
        <v>1470</v>
      </c>
      <c r="E1453" s="5">
        <v>1410</v>
      </c>
      <c r="F1453" s="5">
        <v>1450</v>
      </c>
      <c r="G1453" s="5">
        <v>1381.23</v>
      </c>
      <c r="H1453" s="6">
        <v>61191200</v>
      </c>
      <c r="I1453" s="22" t="str">
        <f t="shared" si="143"/>
        <v>+</v>
      </c>
      <c r="J1453" s="7">
        <f t="shared" si="144"/>
        <v>2.8368794326241136</v>
      </c>
      <c r="K1453" s="7">
        <f t="shared" si="145"/>
        <v>113.6512026591529</v>
      </c>
      <c r="L1453" s="2" t="str">
        <f t="shared" si="140"/>
        <v>Normal</v>
      </c>
      <c r="M1453" s="2" t="str">
        <f t="shared" si="141"/>
        <v>Normal</v>
      </c>
      <c r="N1453" s="2" t="str">
        <f t="shared" si="142"/>
        <v>No</v>
      </c>
    </row>
    <row r="1454" spans="1:14" x14ac:dyDescent="0.25">
      <c r="A1454" s="3">
        <v>45630</v>
      </c>
      <c r="B1454" s="4">
        <v>2024</v>
      </c>
      <c r="C1454" s="5">
        <v>1445</v>
      </c>
      <c r="D1454" s="5">
        <v>1470</v>
      </c>
      <c r="E1454" s="5">
        <v>1440</v>
      </c>
      <c r="F1454" s="5">
        <v>1465</v>
      </c>
      <c r="G1454" s="5">
        <v>1395.52</v>
      </c>
      <c r="H1454" s="6">
        <v>46067800</v>
      </c>
      <c r="I1454" s="22" t="str">
        <f t="shared" si="143"/>
        <v>+</v>
      </c>
      <c r="J1454" s="7">
        <f t="shared" si="144"/>
        <v>1.0344827586206897</v>
      </c>
      <c r="K1454" s="7">
        <f t="shared" si="145"/>
        <v>-24.714991698152673</v>
      </c>
      <c r="L1454" s="2" t="str">
        <f t="shared" si="140"/>
        <v>Normal</v>
      </c>
      <c r="M1454" s="2" t="str">
        <f t="shared" si="141"/>
        <v>Normal</v>
      </c>
      <c r="N1454" s="2" t="str">
        <f t="shared" si="142"/>
        <v>No</v>
      </c>
    </row>
    <row r="1455" spans="1:14" x14ac:dyDescent="0.25">
      <c r="A1455" s="3">
        <v>45631</v>
      </c>
      <c r="B1455" s="4">
        <v>2024</v>
      </c>
      <c r="C1455" s="5">
        <v>1470</v>
      </c>
      <c r="D1455" s="5">
        <v>1495</v>
      </c>
      <c r="E1455" s="5">
        <v>1450</v>
      </c>
      <c r="F1455" s="5">
        <v>1490</v>
      </c>
      <c r="G1455" s="5">
        <v>1419.33</v>
      </c>
      <c r="H1455" s="6">
        <v>57649600</v>
      </c>
      <c r="I1455" s="22" t="str">
        <f t="shared" si="143"/>
        <v>+</v>
      </c>
      <c r="J1455" s="7">
        <f t="shared" si="144"/>
        <v>1.7064846416382253</v>
      </c>
      <c r="K1455" s="7">
        <f t="shared" si="145"/>
        <v>25.140770776985228</v>
      </c>
      <c r="L1455" s="2" t="str">
        <f t="shared" si="140"/>
        <v>Normal</v>
      </c>
      <c r="M1455" s="2" t="str">
        <f t="shared" si="141"/>
        <v>Normal</v>
      </c>
      <c r="N1455" s="2" t="str">
        <f t="shared" si="142"/>
        <v>No</v>
      </c>
    </row>
    <row r="1456" spans="1:14" x14ac:dyDescent="0.25">
      <c r="A1456" s="3">
        <v>45632</v>
      </c>
      <c r="B1456" s="4">
        <v>2024</v>
      </c>
      <c r="C1456" s="5">
        <v>1490</v>
      </c>
      <c r="D1456" s="5">
        <v>1495</v>
      </c>
      <c r="E1456" s="5">
        <v>1465</v>
      </c>
      <c r="F1456" s="5">
        <v>1485</v>
      </c>
      <c r="G1456" s="5">
        <v>1414.57</v>
      </c>
      <c r="H1456" s="6">
        <v>33502500</v>
      </c>
      <c r="I1456" s="22" t="str">
        <f t="shared" si="143"/>
        <v>-</v>
      </c>
      <c r="J1456" s="7">
        <f t="shared" si="144"/>
        <v>-0.33557046979865773</v>
      </c>
      <c r="K1456" s="7">
        <f t="shared" si="145"/>
        <v>-41.885980128222918</v>
      </c>
      <c r="L1456" s="2" t="str">
        <f t="shared" si="140"/>
        <v>Normal</v>
      </c>
      <c r="M1456" s="2" t="str">
        <f t="shared" si="141"/>
        <v>Normal</v>
      </c>
      <c r="N1456" s="2" t="str">
        <f t="shared" si="142"/>
        <v>No</v>
      </c>
    </row>
    <row r="1457" spans="1:14" x14ac:dyDescent="0.25">
      <c r="A1457" s="3">
        <v>45635</v>
      </c>
      <c r="B1457" s="4">
        <v>2024</v>
      </c>
      <c r="C1457" s="5">
        <v>1485</v>
      </c>
      <c r="D1457" s="5">
        <v>1510</v>
      </c>
      <c r="E1457" s="5">
        <v>1480</v>
      </c>
      <c r="F1457" s="5">
        <v>1490</v>
      </c>
      <c r="G1457" s="5">
        <v>1419.33</v>
      </c>
      <c r="H1457" s="6">
        <v>42618200</v>
      </c>
      <c r="I1457" s="22" t="str">
        <f t="shared" si="143"/>
        <v>+</v>
      </c>
      <c r="J1457" s="7">
        <f t="shared" si="144"/>
        <v>0.33670033670033667</v>
      </c>
      <c r="K1457" s="7">
        <f t="shared" si="145"/>
        <v>27.209014252667714</v>
      </c>
      <c r="L1457" s="2" t="str">
        <f t="shared" si="140"/>
        <v>Normal</v>
      </c>
      <c r="M1457" s="2" t="str">
        <f t="shared" si="141"/>
        <v>Normal</v>
      </c>
      <c r="N1457" s="2" t="str">
        <f t="shared" si="142"/>
        <v>No</v>
      </c>
    </row>
    <row r="1458" spans="1:14" x14ac:dyDescent="0.25">
      <c r="A1458" s="3">
        <v>45636</v>
      </c>
      <c r="B1458" s="4">
        <v>2024</v>
      </c>
      <c r="C1458" s="5">
        <v>1500</v>
      </c>
      <c r="D1458" s="5">
        <v>1630</v>
      </c>
      <c r="E1458" s="5">
        <v>1500</v>
      </c>
      <c r="F1458" s="5">
        <v>1625</v>
      </c>
      <c r="G1458" s="5">
        <v>1547.93</v>
      </c>
      <c r="H1458" s="6">
        <v>158162400</v>
      </c>
      <c r="I1458" s="22" t="str">
        <f t="shared" si="143"/>
        <v>+</v>
      </c>
      <c r="J1458" s="7">
        <f t="shared" si="144"/>
        <v>9.0604026845637584</v>
      </c>
      <c r="K1458" s="7">
        <f t="shared" si="145"/>
        <v>271.11468809100336</v>
      </c>
      <c r="L1458" s="2" t="str">
        <f t="shared" si="140"/>
        <v>Sharp Price Increase</v>
      </c>
      <c r="M1458" s="2" t="str">
        <f t="shared" si="141"/>
        <v>Sharp Volume Increase</v>
      </c>
      <c r="N1458" s="2" t="str">
        <f t="shared" si="142"/>
        <v>Yes</v>
      </c>
    </row>
    <row r="1459" spans="1:14" x14ac:dyDescent="0.25">
      <c r="A1459" s="3">
        <v>45637</v>
      </c>
      <c r="B1459" s="4">
        <v>2024</v>
      </c>
      <c r="C1459" s="5">
        <v>1625</v>
      </c>
      <c r="D1459" s="5">
        <v>1655</v>
      </c>
      <c r="E1459" s="5">
        <v>1580</v>
      </c>
      <c r="F1459" s="5">
        <v>1600</v>
      </c>
      <c r="G1459" s="5">
        <v>1524.11</v>
      </c>
      <c r="H1459" s="6">
        <v>72947100</v>
      </c>
      <c r="I1459" s="22" t="str">
        <f t="shared" si="143"/>
        <v>-</v>
      </c>
      <c r="J1459" s="7">
        <f t="shared" si="144"/>
        <v>-1.5384615384615385</v>
      </c>
      <c r="K1459" s="7">
        <f t="shared" si="145"/>
        <v>-53.878355411905744</v>
      </c>
      <c r="L1459" s="2" t="str">
        <f t="shared" si="140"/>
        <v>Normal</v>
      </c>
      <c r="M1459" s="2" t="str">
        <f t="shared" si="141"/>
        <v>Normal</v>
      </c>
      <c r="N1459" s="2" t="str">
        <f t="shared" si="142"/>
        <v>No</v>
      </c>
    </row>
    <row r="1460" spans="1:14" x14ac:dyDescent="0.25">
      <c r="A1460" s="3">
        <v>45638</v>
      </c>
      <c r="B1460" s="4">
        <v>2024</v>
      </c>
      <c r="C1460" s="5">
        <v>1605</v>
      </c>
      <c r="D1460" s="5">
        <v>1635</v>
      </c>
      <c r="E1460" s="5">
        <v>1585</v>
      </c>
      <c r="F1460" s="5">
        <v>1615</v>
      </c>
      <c r="G1460" s="5">
        <v>1538.4</v>
      </c>
      <c r="H1460" s="6">
        <v>62213000</v>
      </c>
      <c r="I1460" s="22" t="str">
        <f t="shared" si="143"/>
        <v>+</v>
      </c>
      <c r="J1460" s="7">
        <f t="shared" si="144"/>
        <v>0.9375</v>
      </c>
      <c r="K1460" s="7">
        <f t="shared" si="145"/>
        <v>-14.71490984562786</v>
      </c>
      <c r="L1460" s="2" t="str">
        <f t="shared" si="140"/>
        <v>Normal</v>
      </c>
      <c r="M1460" s="2" t="str">
        <f t="shared" si="141"/>
        <v>Normal</v>
      </c>
      <c r="N1460" s="2" t="str">
        <f t="shared" si="142"/>
        <v>No</v>
      </c>
    </row>
    <row r="1461" spans="1:14" x14ac:dyDescent="0.25">
      <c r="A1461" s="3">
        <v>45639</v>
      </c>
      <c r="B1461" s="4">
        <v>2024</v>
      </c>
      <c r="C1461" s="5">
        <v>1615</v>
      </c>
      <c r="D1461" s="5">
        <v>1615</v>
      </c>
      <c r="E1461" s="5">
        <v>1575</v>
      </c>
      <c r="F1461" s="5">
        <v>1585</v>
      </c>
      <c r="G1461" s="5">
        <v>1509.83</v>
      </c>
      <c r="H1461" s="6">
        <v>42789500</v>
      </c>
      <c r="I1461" s="22" t="str">
        <f t="shared" si="143"/>
        <v>-</v>
      </c>
      <c r="J1461" s="7">
        <f t="shared" si="144"/>
        <v>-1.8575851393188854</v>
      </c>
      <c r="K1461" s="7">
        <f t="shared" si="145"/>
        <v>-31.220966678989921</v>
      </c>
      <c r="L1461" s="2" t="str">
        <f t="shared" si="140"/>
        <v>Normal</v>
      </c>
      <c r="M1461" s="2" t="str">
        <f t="shared" si="141"/>
        <v>Normal</v>
      </c>
      <c r="N1461" s="2" t="str">
        <f t="shared" si="142"/>
        <v>No</v>
      </c>
    </row>
    <row r="1462" spans="1:14" x14ac:dyDescent="0.25">
      <c r="A1462" s="3">
        <v>45642</v>
      </c>
      <c r="B1462" s="4">
        <v>2024</v>
      </c>
      <c r="C1462" s="5">
        <v>1570</v>
      </c>
      <c r="D1462" s="5">
        <v>1585</v>
      </c>
      <c r="E1462" s="5">
        <v>1545</v>
      </c>
      <c r="F1462" s="5">
        <v>1560</v>
      </c>
      <c r="G1462" s="5">
        <v>1486.01</v>
      </c>
      <c r="H1462" s="6">
        <v>28443900</v>
      </c>
      <c r="I1462" s="22" t="str">
        <f t="shared" si="143"/>
        <v>-</v>
      </c>
      <c r="J1462" s="7">
        <f t="shared" si="144"/>
        <v>-1.5772870662460567</v>
      </c>
      <c r="K1462" s="7">
        <f t="shared" si="145"/>
        <v>-33.525981841339579</v>
      </c>
      <c r="L1462" s="2" t="str">
        <f t="shared" si="140"/>
        <v>Normal</v>
      </c>
      <c r="M1462" s="2" t="str">
        <f t="shared" si="141"/>
        <v>Normal</v>
      </c>
      <c r="N1462" s="2" t="str">
        <f t="shared" si="142"/>
        <v>No</v>
      </c>
    </row>
    <row r="1463" spans="1:14" x14ac:dyDescent="0.25">
      <c r="A1463" s="3">
        <v>45643</v>
      </c>
      <c r="B1463" s="4">
        <v>2024</v>
      </c>
      <c r="C1463" s="5">
        <v>1565</v>
      </c>
      <c r="D1463" s="5">
        <v>1565</v>
      </c>
      <c r="E1463" s="5">
        <v>1500</v>
      </c>
      <c r="F1463" s="5">
        <v>1510</v>
      </c>
      <c r="G1463" s="5">
        <v>1438.38</v>
      </c>
      <c r="H1463" s="6">
        <v>45849900</v>
      </c>
      <c r="I1463" s="22" t="str">
        <f t="shared" si="143"/>
        <v>-</v>
      </c>
      <c r="J1463" s="7">
        <f t="shared" si="144"/>
        <v>-3.2051282051282048</v>
      </c>
      <c r="K1463" s="7">
        <f t="shared" si="145"/>
        <v>61.194140044086787</v>
      </c>
      <c r="L1463" s="2" t="str">
        <f t="shared" si="140"/>
        <v>Normal</v>
      </c>
      <c r="M1463" s="2" t="str">
        <f t="shared" si="141"/>
        <v>Normal</v>
      </c>
      <c r="N1463" s="2" t="str">
        <f t="shared" si="142"/>
        <v>No</v>
      </c>
    </row>
    <row r="1464" spans="1:14" x14ac:dyDescent="0.25">
      <c r="A1464" s="3">
        <v>45644</v>
      </c>
      <c r="B1464" s="4">
        <v>2024</v>
      </c>
      <c r="C1464" s="5">
        <v>1510</v>
      </c>
      <c r="D1464" s="5">
        <v>1535</v>
      </c>
      <c r="E1464" s="5">
        <v>1495</v>
      </c>
      <c r="F1464" s="5">
        <v>1515</v>
      </c>
      <c r="G1464" s="5">
        <v>1443.15</v>
      </c>
      <c r="H1464" s="6">
        <v>25835100</v>
      </c>
      <c r="I1464" s="22" t="str">
        <f t="shared" si="143"/>
        <v>+</v>
      </c>
      <c r="J1464" s="7">
        <f t="shared" si="144"/>
        <v>0.33112582781456956</v>
      </c>
      <c r="K1464" s="7">
        <f t="shared" si="145"/>
        <v>-43.652876014996764</v>
      </c>
      <c r="L1464" s="2" t="str">
        <f t="shared" si="140"/>
        <v>Normal</v>
      </c>
      <c r="M1464" s="2" t="str">
        <f t="shared" si="141"/>
        <v>Normal</v>
      </c>
      <c r="N1464" s="2" t="str">
        <f t="shared" si="142"/>
        <v>No</v>
      </c>
    </row>
    <row r="1465" spans="1:14" x14ac:dyDescent="0.25">
      <c r="A1465" s="3">
        <v>45645</v>
      </c>
      <c r="B1465" s="4">
        <v>2024</v>
      </c>
      <c r="C1465" s="5">
        <v>1495</v>
      </c>
      <c r="D1465" s="5">
        <v>1495</v>
      </c>
      <c r="E1465" s="5">
        <v>1445</v>
      </c>
      <c r="F1465" s="5">
        <v>1470</v>
      </c>
      <c r="G1465" s="5">
        <v>1400.28</v>
      </c>
      <c r="H1465" s="6">
        <v>40890300</v>
      </c>
      <c r="I1465" s="22" t="str">
        <f t="shared" si="143"/>
        <v>-</v>
      </c>
      <c r="J1465" s="7">
        <f t="shared" si="144"/>
        <v>-2.9702970297029703</v>
      </c>
      <c r="K1465" s="7">
        <f t="shared" si="145"/>
        <v>58.274208344461606</v>
      </c>
      <c r="L1465" s="2" t="str">
        <f t="shared" si="140"/>
        <v>Normal</v>
      </c>
      <c r="M1465" s="2" t="str">
        <f t="shared" si="141"/>
        <v>Normal</v>
      </c>
      <c r="N1465" s="2" t="str">
        <f t="shared" si="142"/>
        <v>No</v>
      </c>
    </row>
    <row r="1466" spans="1:14" x14ac:dyDescent="0.25">
      <c r="A1466" s="3">
        <v>45646</v>
      </c>
      <c r="B1466" s="4">
        <v>2024</v>
      </c>
      <c r="C1466" s="5">
        <v>1465</v>
      </c>
      <c r="D1466" s="5">
        <v>1475</v>
      </c>
      <c r="E1466" s="5">
        <v>1420</v>
      </c>
      <c r="F1466" s="5">
        <v>1420</v>
      </c>
      <c r="G1466" s="5">
        <v>1352.65</v>
      </c>
      <c r="H1466" s="6">
        <v>31468500</v>
      </c>
      <c r="I1466" s="22" t="str">
        <f t="shared" si="143"/>
        <v>-</v>
      </c>
      <c r="J1466" s="7">
        <f t="shared" si="144"/>
        <v>-3.4013605442176873</v>
      </c>
      <c r="K1466" s="7">
        <f t="shared" si="145"/>
        <v>-23.041650464780155</v>
      </c>
      <c r="L1466" s="2" t="str">
        <f t="shared" si="140"/>
        <v>Normal</v>
      </c>
      <c r="M1466" s="2" t="str">
        <f t="shared" si="141"/>
        <v>Normal</v>
      </c>
      <c r="N1466" s="2" t="str">
        <f t="shared" si="142"/>
        <v>No</v>
      </c>
    </row>
    <row r="1467" spans="1:14" x14ac:dyDescent="0.25">
      <c r="A1467" s="3">
        <v>45649</v>
      </c>
      <c r="B1467" s="4">
        <v>2024</v>
      </c>
      <c r="C1467" s="5">
        <v>1425</v>
      </c>
      <c r="D1467" s="5">
        <v>1455</v>
      </c>
      <c r="E1467" s="5">
        <v>1425</v>
      </c>
      <c r="F1467" s="5">
        <v>1455</v>
      </c>
      <c r="G1467" s="5">
        <v>1385.99</v>
      </c>
      <c r="H1467" s="6">
        <v>31957000</v>
      </c>
      <c r="I1467" s="22" t="str">
        <f t="shared" si="143"/>
        <v>+</v>
      </c>
      <c r="J1467" s="7">
        <f t="shared" si="144"/>
        <v>2.464788732394366</v>
      </c>
      <c r="K1467" s="7">
        <f t="shared" si="145"/>
        <v>1.5523459967904412</v>
      </c>
      <c r="L1467" s="2" t="str">
        <f t="shared" si="140"/>
        <v>Normal</v>
      </c>
      <c r="M1467" s="2" t="str">
        <f t="shared" si="141"/>
        <v>Normal</v>
      </c>
      <c r="N1467" s="2" t="str">
        <f t="shared" si="142"/>
        <v>No</v>
      </c>
    </row>
    <row r="1468" spans="1:14" x14ac:dyDescent="0.25">
      <c r="A1468" s="3">
        <v>45650</v>
      </c>
      <c r="B1468" s="4">
        <v>2024</v>
      </c>
      <c r="C1468" s="5">
        <v>1460</v>
      </c>
      <c r="D1468" s="5">
        <v>1465</v>
      </c>
      <c r="E1468" s="5">
        <v>1435</v>
      </c>
      <c r="F1468" s="5">
        <v>1435</v>
      </c>
      <c r="G1468" s="5">
        <v>1366.94</v>
      </c>
      <c r="H1468" s="6">
        <v>19521500</v>
      </c>
      <c r="I1468" s="22" t="str">
        <f t="shared" si="143"/>
        <v>-</v>
      </c>
      <c r="J1468" s="7">
        <f t="shared" si="144"/>
        <v>-1.3745704467353952</v>
      </c>
      <c r="K1468" s="7">
        <f t="shared" si="145"/>
        <v>-38.913227148981441</v>
      </c>
      <c r="L1468" s="2" t="str">
        <f t="shared" si="140"/>
        <v>Normal</v>
      </c>
      <c r="M1468" s="2" t="str">
        <f t="shared" si="141"/>
        <v>Normal</v>
      </c>
      <c r="N1468" s="2" t="str">
        <f t="shared" si="142"/>
        <v>No</v>
      </c>
    </row>
    <row r="1469" spans="1:14" x14ac:dyDescent="0.25">
      <c r="A1469" s="3">
        <v>45653</v>
      </c>
      <c r="B1469" s="4">
        <v>2024</v>
      </c>
      <c r="C1469" s="5">
        <v>1440</v>
      </c>
      <c r="D1469" s="5">
        <v>1535</v>
      </c>
      <c r="E1469" s="5">
        <v>1440</v>
      </c>
      <c r="F1469" s="5">
        <v>1525</v>
      </c>
      <c r="G1469" s="5">
        <v>1452.67</v>
      </c>
      <c r="H1469" s="6">
        <v>51044700</v>
      </c>
      <c r="I1469" s="22" t="str">
        <f t="shared" si="143"/>
        <v>+</v>
      </c>
      <c r="J1469" s="7">
        <f t="shared" si="144"/>
        <v>6.2717770034843205</v>
      </c>
      <c r="K1469" s="7">
        <f t="shared" si="145"/>
        <v>161.47939451374128</v>
      </c>
      <c r="L1469" s="2" t="str">
        <f t="shared" si="140"/>
        <v>Sharp Price Increase</v>
      </c>
      <c r="M1469" s="2" t="str">
        <f t="shared" si="141"/>
        <v>Normal</v>
      </c>
      <c r="N1469" s="2" t="str">
        <f t="shared" si="142"/>
        <v>No</v>
      </c>
    </row>
    <row r="1470" spans="1:14" x14ac:dyDescent="0.25">
      <c r="A1470" s="3">
        <v>45656</v>
      </c>
      <c r="B1470" s="4">
        <v>2024</v>
      </c>
      <c r="C1470" s="5">
        <v>1525</v>
      </c>
      <c r="D1470" s="5">
        <v>1545</v>
      </c>
      <c r="E1470" s="5">
        <v>1490</v>
      </c>
      <c r="F1470" s="5">
        <v>1525</v>
      </c>
      <c r="G1470" s="5">
        <v>1452.67</v>
      </c>
      <c r="H1470" s="6">
        <v>42238300</v>
      </c>
      <c r="I1470" s="22" t="str">
        <f t="shared" si="143"/>
        <v>0</v>
      </c>
      <c r="J1470" s="7">
        <f t="shared" si="144"/>
        <v>0</v>
      </c>
      <c r="K1470" s="7">
        <f t="shared" si="145"/>
        <v>-17.252329820725755</v>
      </c>
      <c r="L1470" s="2" t="str">
        <f t="shared" si="140"/>
        <v>Normal</v>
      </c>
      <c r="M1470" s="2" t="str">
        <f t="shared" si="141"/>
        <v>Normal</v>
      </c>
      <c r="N1470" s="2" t="str">
        <f t="shared" si="142"/>
        <v>No</v>
      </c>
    </row>
    <row r="1471" spans="1:14" x14ac:dyDescent="0.25">
      <c r="A1471" s="3">
        <v>45659</v>
      </c>
      <c r="B1471" s="4">
        <v>2025</v>
      </c>
      <c r="C1471" s="5">
        <v>1530</v>
      </c>
      <c r="D1471" s="5">
        <v>1560</v>
      </c>
      <c r="E1471" s="5">
        <v>1520</v>
      </c>
      <c r="F1471" s="5">
        <v>1545</v>
      </c>
      <c r="G1471" s="5">
        <v>1471.72</v>
      </c>
      <c r="H1471" s="6">
        <v>33508800</v>
      </c>
      <c r="I1471" s="22" t="str">
        <f t="shared" si="143"/>
        <v>+</v>
      </c>
      <c r="J1471" s="7">
        <f t="shared" si="144"/>
        <v>1.3114754098360655</v>
      </c>
      <c r="K1471" s="7">
        <f t="shared" si="145"/>
        <v>-20.667261703240897</v>
      </c>
      <c r="L1471" s="2" t="str">
        <f t="shared" si="140"/>
        <v>Normal</v>
      </c>
      <c r="M1471" s="2" t="str">
        <f t="shared" si="141"/>
        <v>Normal</v>
      </c>
      <c r="N1471" s="2" t="str">
        <f t="shared" si="142"/>
        <v>No</v>
      </c>
    </row>
    <row r="1472" spans="1:14" x14ac:dyDescent="0.25">
      <c r="A1472" s="3">
        <v>45660</v>
      </c>
      <c r="B1472" s="4">
        <v>2025</v>
      </c>
      <c r="C1472" s="5">
        <v>1560</v>
      </c>
      <c r="D1472" s="5">
        <v>1560</v>
      </c>
      <c r="E1472" s="5">
        <v>1520</v>
      </c>
      <c r="F1472" s="5">
        <v>1520</v>
      </c>
      <c r="G1472" s="5">
        <v>1447.91</v>
      </c>
      <c r="H1472" s="6">
        <v>18198800</v>
      </c>
      <c r="I1472" s="22" t="str">
        <f t="shared" si="143"/>
        <v>-</v>
      </c>
      <c r="J1472" s="7">
        <f t="shared" si="144"/>
        <v>-1.6181229773462782</v>
      </c>
      <c r="K1472" s="7">
        <f t="shared" si="145"/>
        <v>-45.689490521892758</v>
      </c>
      <c r="L1472" s="2" t="str">
        <f t="shared" si="140"/>
        <v>Normal</v>
      </c>
      <c r="M1472" s="2" t="str">
        <f t="shared" si="141"/>
        <v>Normal</v>
      </c>
      <c r="N1472" s="2" t="str">
        <f t="shared" si="142"/>
        <v>No</v>
      </c>
    </row>
    <row r="1473" spans="1:14" x14ac:dyDescent="0.25">
      <c r="A1473" s="3">
        <v>45663</v>
      </c>
      <c r="B1473" s="4">
        <v>2025</v>
      </c>
      <c r="C1473" s="5">
        <v>1525</v>
      </c>
      <c r="D1473" s="5">
        <v>1540</v>
      </c>
      <c r="E1473" s="5">
        <v>1460</v>
      </c>
      <c r="F1473" s="5">
        <v>1465</v>
      </c>
      <c r="G1473" s="5">
        <v>1395.52</v>
      </c>
      <c r="H1473" s="6">
        <v>28169500</v>
      </c>
      <c r="I1473" s="22" t="str">
        <f t="shared" si="143"/>
        <v>-</v>
      </c>
      <c r="J1473" s="7">
        <f t="shared" si="144"/>
        <v>-3.6184210526315792</v>
      </c>
      <c r="K1473" s="7">
        <f t="shared" si="145"/>
        <v>54.787678308459896</v>
      </c>
      <c r="L1473" s="2" t="str">
        <f t="shared" si="140"/>
        <v>Normal</v>
      </c>
      <c r="M1473" s="2" t="str">
        <f t="shared" si="141"/>
        <v>Normal</v>
      </c>
      <c r="N1473" s="2" t="str">
        <f t="shared" si="142"/>
        <v>No</v>
      </c>
    </row>
    <row r="1474" spans="1:14" x14ac:dyDescent="0.25">
      <c r="A1474" s="3">
        <v>45664</v>
      </c>
      <c r="B1474" s="4">
        <v>2025</v>
      </c>
      <c r="C1474" s="5">
        <v>1470</v>
      </c>
      <c r="D1474" s="5">
        <v>1480</v>
      </c>
      <c r="E1474" s="5">
        <v>1430</v>
      </c>
      <c r="F1474" s="5">
        <v>1435</v>
      </c>
      <c r="G1474" s="5">
        <v>1366.94</v>
      </c>
      <c r="H1474" s="6">
        <v>36008100</v>
      </c>
      <c r="I1474" s="22" t="str">
        <f t="shared" si="143"/>
        <v>-</v>
      </c>
      <c r="J1474" s="7">
        <f t="shared" si="144"/>
        <v>-2.0477815699658701</v>
      </c>
      <c r="K1474" s="7">
        <f t="shared" si="145"/>
        <v>27.826549992012637</v>
      </c>
      <c r="L1474" s="2" t="str">
        <f t="shared" si="140"/>
        <v>Normal</v>
      </c>
      <c r="M1474" s="2" t="str">
        <f t="shared" si="141"/>
        <v>Normal</v>
      </c>
      <c r="N1474" s="2" t="str">
        <f t="shared" si="142"/>
        <v>No</v>
      </c>
    </row>
    <row r="1475" spans="1:14" x14ac:dyDescent="0.25">
      <c r="A1475" s="3">
        <v>45665</v>
      </c>
      <c r="B1475" s="4">
        <v>2025</v>
      </c>
      <c r="C1475" s="5">
        <v>1445</v>
      </c>
      <c r="D1475" s="5">
        <v>1465</v>
      </c>
      <c r="E1475" s="5">
        <v>1425</v>
      </c>
      <c r="F1475" s="5">
        <v>1430</v>
      </c>
      <c r="G1475" s="5">
        <v>1362.18</v>
      </c>
      <c r="H1475" s="6">
        <v>34414800</v>
      </c>
      <c r="I1475" s="22" t="str">
        <f t="shared" si="143"/>
        <v>-</v>
      </c>
      <c r="J1475" s="7">
        <f t="shared" si="144"/>
        <v>-0.34843205574912894</v>
      </c>
      <c r="K1475" s="7">
        <f t="shared" si="145"/>
        <v>-4.4248377448407439</v>
      </c>
      <c r="L1475" s="2" t="str">
        <f t="shared" ref="L1475:L1538" si="146">IFERROR(IF(OR(J1475="",ISBLANK(J1475)),"Normal",IF(J1475&lt;=$U$6,"Sharp Price Decrease",IF(J1475&gt;=$U$7,"Sharp Price Increase","Normal"))),"Normal")</f>
        <v>Normal</v>
      </c>
      <c r="M1475" s="2" t="str">
        <f t="shared" ref="M1475:M1538" si="147">IFERROR(IF(OR(K1475="",ISBLANK(K1475)),"Normal",IF(K1475&lt;=$U$8,"Sharp Volume Decrease",IF(K1475&gt;=$U$9,"Sharp Volume Increase","Normal"))),"Normal")</f>
        <v>Normal</v>
      </c>
      <c r="N1475" s="2" t="str">
        <f t="shared" ref="N1475:N1538" si="148">IFERROR(IF(AND(OR(L1475="Sharp Price Increase",L1475="Sharp Price Decrease"),OR(M1475="Sharp Volume Increase",M1475="Sharp Volume Decrease")),"Yes","No"),"No")</f>
        <v>No</v>
      </c>
    </row>
    <row r="1476" spans="1:14" x14ac:dyDescent="0.25">
      <c r="A1476" s="3">
        <v>45666</v>
      </c>
      <c r="B1476" s="4">
        <v>2025</v>
      </c>
      <c r="C1476" s="5">
        <v>1435</v>
      </c>
      <c r="D1476" s="5">
        <v>1440</v>
      </c>
      <c r="E1476" s="5">
        <v>1410</v>
      </c>
      <c r="F1476" s="5">
        <v>1420</v>
      </c>
      <c r="G1476" s="5">
        <v>1352.65</v>
      </c>
      <c r="H1476" s="6">
        <v>30949900</v>
      </c>
      <c r="I1476" s="22" t="str">
        <f t="shared" ref="I1476:I1539" si="149">IFERROR(IF(OR(F1475="",F1476=""),"",IF(F1476-F1475&lt;0,"-",IF(F1476-F1475&gt;0,"+","0"))),"")</f>
        <v>-</v>
      </c>
      <c r="J1476" s="7">
        <f t="shared" ref="J1476:J1539" si="150">(F1476-F1475)/F1475*100</f>
        <v>-0.69930069930069927</v>
      </c>
      <c r="K1476" s="7">
        <f t="shared" ref="K1476:K1539" si="151">(H1476-H1475)/H1475*100</f>
        <v>-10.068052117112405</v>
      </c>
      <c r="L1476" s="2" t="str">
        <f t="shared" si="146"/>
        <v>Normal</v>
      </c>
      <c r="M1476" s="2" t="str">
        <f t="shared" si="147"/>
        <v>Normal</v>
      </c>
      <c r="N1476" s="2" t="str">
        <f t="shared" si="148"/>
        <v>No</v>
      </c>
    </row>
    <row r="1477" spans="1:14" x14ac:dyDescent="0.25">
      <c r="A1477" s="3">
        <v>45667</v>
      </c>
      <c r="B1477" s="4">
        <v>2025</v>
      </c>
      <c r="C1477" s="5">
        <v>1425</v>
      </c>
      <c r="D1477" s="5">
        <v>1480</v>
      </c>
      <c r="E1477" s="5">
        <v>1425</v>
      </c>
      <c r="F1477" s="5">
        <v>1465</v>
      </c>
      <c r="G1477" s="5">
        <v>1395.52</v>
      </c>
      <c r="H1477" s="6">
        <v>43730900</v>
      </c>
      <c r="I1477" s="22" t="str">
        <f t="shared" si="149"/>
        <v>+</v>
      </c>
      <c r="J1477" s="7">
        <f t="shared" si="150"/>
        <v>3.169014084507042</v>
      </c>
      <c r="K1477" s="7">
        <f t="shared" si="151"/>
        <v>41.295771553381435</v>
      </c>
      <c r="L1477" s="2" t="str">
        <f t="shared" si="146"/>
        <v>Normal</v>
      </c>
      <c r="M1477" s="2" t="str">
        <f t="shared" si="147"/>
        <v>Normal</v>
      </c>
      <c r="N1477" s="2" t="str">
        <f t="shared" si="148"/>
        <v>No</v>
      </c>
    </row>
    <row r="1478" spans="1:14" x14ac:dyDescent="0.25">
      <c r="A1478" s="3">
        <v>45670</v>
      </c>
      <c r="B1478" s="4">
        <v>2025</v>
      </c>
      <c r="C1478" s="5">
        <v>1475</v>
      </c>
      <c r="D1478" s="5">
        <v>1495</v>
      </c>
      <c r="E1478" s="5">
        <v>1455</v>
      </c>
      <c r="F1478" s="5">
        <v>1480</v>
      </c>
      <c r="G1478" s="5">
        <v>1409.81</v>
      </c>
      <c r="H1478" s="6">
        <v>40835000</v>
      </c>
      <c r="I1478" s="22" t="str">
        <f t="shared" si="149"/>
        <v>+</v>
      </c>
      <c r="J1478" s="7">
        <f t="shared" si="150"/>
        <v>1.0238907849829351</v>
      </c>
      <c r="K1478" s="7">
        <f t="shared" si="151"/>
        <v>-6.6220910157348696</v>
      </c>
      <c r="L1478" s="2" t="str">
        <f t="shared" si="146"/>
        <v>Normal</v>
      </c>
      <c r="M1478" s="2" t="str">
        <f t="shared" si="147"/>
        <v>Normal</v>
      </c>
      <c r="N1478" s="2" t="str">
        <f t="shared" si="148"/>
        <v>No</v>
      </c>
    </row>
    <row r="1479" spans="1:14" x14ac:dyDescent="0.25">
      <c r="A1479" s="3">
        <v>45671</v>
      </c>
      <c r="B1479" s="4">
        <v>2025</v>
      </c>
      <c r="C1479" s="5">
        <v>1480</v>
      </c>
      <c r="D1479" s="5">
        <v>1535</v>
      </c>
      <c r="E1479" s="5">
        <v>1465</v>
      </c>
      <c r="F1479" s="5">
        <v>1520</v>
      </c>
      <c r="G1479" s="5">
        <v>1447.91</v>
      </c>
      <c r="H1479" s="6">
        <v>59977600</v>
      </c>
      <c r="I1479" s="22" t="str">
        <f t="shared" si="149"/>
        <v>+</v>
      </c>
      <c r="J1479" s="7">
        <f t="shared" si="150"/>
        <v>2.7027027027027026</v>
      </c>
      <c r="K1479" s="7">
        <f t="shared" si="151"/>
        <v>46.877923350067348</v>
      </c>
      <c r="L1479" s="2" t="str">
        <f t="shared" si="146"/>
        <v>Normal</v>
      </c>
      <c r="M1479" s="2" t="str">
        <f t="shared" si="147"/>
        <v>Normal</v>
      </c>
      <c r="N1479" s="2" t="str">
        <f t="shared" si="148"/>
        <v>No</v>
      </c>
    </row>
    <row r="1480" spans="1:14" x14ac:dyDescent="0.25">
      <c r="A1480" s="3">
        <v>45672</v>
      </c>
      <c r="B1480" s="4">
        <v>2025</v>
      </c>
      <c r="C1480" s="5">
        <v>1520</v>
      </c>
      <c r="D1480" s="5">
        <v>1530</v>
      </c>
      <c r="E1480" s="5">
        <v>1505</v>
      </c>
      <c r="F1480" s="5">
        <v>1530</v>
      </c>
      <c r="G1480" s="5">
        <v>1457.43</v>
      </c>
      <c r="H1480" s="6">
        <v>28123600</v>
      </c>
      <c r="I1480" s="22" t="str">
        <f t="shared" si="149"/>
        <v>+</v>
      </c>
      <c r="J1480" s="7">
        <f t="shared" si="150"/>
        <v>0.6578947368421052</v>
      </c>
      <c r="K1480" s="7">
        <f t="shared" si="151"/>
        <v>-53.109827668996424</v>
      </c>
      <c r="L1480" s="2" t="str">
        <f t="shared" si="146"/>
        <v>Normal</v>
      </c>
      <c r="M1480" s="2" t="str">
        <f t="shared" si="147"/>
        <v>Normal</v>
      </c>
      <c r="N1480" s="2" t="str">
        <f t="shared" si="148"/>
        <v>No</v>
      </c>
    </row>
    <row r="1481" spans="1:14" x14ac:dyDescent="0.25">
      <c r="A1481" s="3">
        <v>45673</v>
      </c>
      <c r="B1481" s="4">
        <v>2025</v>
      </c>
      <c r="C1481" s="5">
        <v>1535</v>
      </c>
      <c r="D1481" s="5">
        <v>1550</v>
      </c>
      <c r="E1481" s="5">
        <v>1510</v>
      </c>
      <c r="F1481" s="5">
        <v>1520</v>
      </c>
      <c r="G1481" s="5">
        <v>1447.91</v>
      </c>
      <c r="H1481" s="6">
        <v>32746500</v>
      </c>
      <c r="I1481" s="22" t="str">
        <f t="shared" si="149"/>
        <v>-</v>
      </c>
      <c r="J1481" s="7">
        <f t="shared" si="150"/>
        <v>-0.65359477124183007</v>
      </c>
      <c r="K1481" s="7">
        <f t="shared" si="151"/>
        <v>16.437796014734957</v>
      </c>
      <c r="L1481" s="2" t="str">
        <f t="shared" si="146"/>
        <v>Normal</v>
      </c>
      <c r="M1481" s="2" t="str">
        <f t="shared" si="147"/>
        <v>Normal</v>
      </c>
      <c r="N1481" s="2" t="str">
        <f t="shared" si="148"/>
        <v>No</v>
      </c>
    </row>
    <row r="1482" spans="1:14" x14ac:dyDescent="0.25">
      <c r="A1482" s="3">
        <v>45674</v>
      </c>
      <c r="B1482" s="4">
        <v>2025</v>
      </c>
      <c r="C1482" s="5">
        <v>1530</v>
      </c>
      <c r="D1482" s="5">
        <v>1540</v>
      </c>
      <c r="E1482" s="5">
        <v>1505</v>
      </c>
      <c r="F1482" s="5">
        <v>1520</v>
      </c>
      <c r="G1482" s="5">
        <v>1447.91</v>
      </c>
      <c r="H1482" s="6">
        <v>14490400</v>
      </c>
      <c r="I1482" s="22" t="str">
        <f t="shared" si="149"/>
        <v>0</v>
      </c>
      <c r="J1482" s="7">
        <f t="shared" si="150"/>
        <v>0</v>
      </c>
      <c r="K1482" s="7">
        <f t="shared" si="151"/>
        <v>-55.749774785091532</v>
      </c>
      <c r="L1482" s="2" t="str">
        <f t="shared" si="146"/>
        <v>Normal</v>
      </c>
      <c r="M1482" s="2" t="str">
        <f t="shared" si="147"/>
        <v>Normal</v>
      </c>
      <c r="N1482" s="2" t="str">
        <f t="shared" si="148"/>
        <v>No</v>
      </c>
    </row>
    <row r="1483" spans="1:14" x14ac:dyDescent="0.25">
      <c r="A1483" s="3">
        <v>45677</v>
      </c>
      <c r="B1483" s="4">
        <v>2025</v>
      </c>
      <c r="C1483" s="5">
        <v>1515</v>
      </c>
      <c r="D1483" s="5">
        <v>1535</v>
      </c>
      <c r="E1483" s="5">
        <v>1500</v>
      </c>
      <c r="F1483" s="5">
        <v>1510</v>
      </c>
      <c r="G1483" s="5">
        <v>1438.38</v>
      </c>
      <c r="H1483" s="6">
        <v>19484000</v>
      </c>
      <c r="I1483" s="22" t="str">
        <f t="shared" si="149"/>
        <v>-</v>
      </c>
      <c r="J1483" s="7">
        <f t="shared" si="150"/>
        <v>-0.6578947368421052</v>
      </c>
      <c r="K1483" s="7">
        <f t="shared" si="151"/>
        <v>34.461436537293658</v>
      </c>
      <c r="L1483" s="2" t="str">
        <f t="shared" si="146"/>
        <v>Normal</v>
      </c>
      <c r="M1483" s="2" t="str">
        <f t="shared" si="147"/>
        <v>Normal</v>
      </c>
      <c r="N1483" s="2" t="str">
        <f t="shared" si="148"/>
        <v>No</v>
      </c>
    </row>
    <row r="1484" spans="1:14" x14ac:dyDescent="0.25">
      <c r="A1484" s="3">
        <v>45678</v>
      </c>
      <c r="B1484" s="4">
        <v>2025</v>
      </c>
      <c r="C1484" s="5">
        <v>1510</v>
      </c>
      <c r="D1484" s="5">
        <v>1525</v>
      </c>
      <c r="E1484" s="5">
        <v>1500</v>
      </c>
      <c r="F1484" s="5">
        <v>1510</v>
      </c>
      <c r="G1484" s="5">
        <v>1438.38</v>
      </c>
      <c r="H1484" s="6">
        <v>22004000</v>
      </c>
      <c r="I1484" s="22" t="str">
        <f t="shared" si="149"/>
        <v>0</v>
      </c>
      <c r="J1484" s="7">
        <f t="shared" si="150"/>
        <v>0</v>
      </c>
      <c r="K1484" s="7">
        <f t="shared" si="151"/>
        <v>12.933689180866351</v>
      </c>
      <c r="L1484" s="2" t="str">
        <f t="shared" si="146"/>
        <v>Normal</v>
      </c>
      <c r="M1484" s="2" t="str">
        <f t="shared" si="147"/>
        <v>Normal</v>
      </c>
      <c r="N1484" s="2" t="str">
        <f t="shared" si="148"/>
        <v>No</v>
      </c>
    </row>
    <row r="1485" spans="1:14" x14ac:dyDescent="0.25">
      <c r="A1485" s="3">
        <v>45679</v>
      </c>
      <c r="B1485" s="4">
        <v>2025</v>
      </c>
      <c r="C1485" s="5">
        <v>1515</v>
      </c>
      <c r="D1485" s="5">
        <v>1540</v>
      </c>
      <c r="E1485" s="5">
        <v>1510</v>
      </c>
      <c r="F1485" s="5">
        <v>1520</v>
      </c>
      <c r="G1485" s="5">
        <v>1447.91</v>
      </c>
      <c r="H1485" s="6">
        <v>23644500</v>
      </c>
      <c r="I1485" s="22" t="str">
        <f t="shared" si="149"/>
        <v>+</v>
      </c>
      <c r="J1485" s="7">
        <f t="shared" si="150"/>
        <v>0.66225165562913912</v>
      </c>
      <c r="K1485" s="7">
        <f t="shared" si="151"/>
        <v>7.4554626431557898</v>
      </c>
      <c r="L1485" s="2" t="str">
        <f t="shared" si="146"/>
        <v>Normal</v>
      </c>
      <c r="M1485" s="2" t="str">
        <f t="shared" si="147"/>
        <v>Normal</v>
      </c>
      <c r="N1485" s="2" t="str">
        <f t="shared" si="148"/>
        <v>No</v>
      </c>
    </row>
    <row r="1486" spans="1:14" x14ac:dyDescent="0.25">
      <c r="A1486" s="3">
        <v>45680</v>
      </c>
      <c r="B1486" s="4">
        <v>2025</v>
      </c>
      <c r="C1486" s="5">
        <v>1525</v>
      </c>
      <c r="D1486" s="5">
        <v>1525</v>
      </c>
      <c r="E1486" s="5">
        <v>1480</v>
      </c>
      <c r="F1486" s="5">
        <v>1490</v>
      </c>
      <c r="G1486" s="5">
        <v>1419.33</v>
      </c>
      <c r="H1486" s="6">
        <v>30835200</v>
      </c>
      <c r="I1486" s="22" t="str">
        <f t="shared" si="149"/>
        <v>-</v>
      </c>
      <c r="J1486" s="7">
        <f t="shared" si="150"/>
        <v>-1.9736842105263157</v>
      </c>
      <c r="K1486" s="7">
        <f t="shared" si="151"/>
        <v>30.411723656664343</v>
      </c>
      <c r="L1486" s="2" t="str">
        <f t="shared" si="146"/>
        <v>Normal</v>
      </c>
      <c r="M1486" s="2" t="str">
        <f t="shared" si="147"/>
        <v>Normal</v>
      </c>
      <c r="N1486" s="2" t="str">
        <f t="shared" si="148"/>
        <v>No</v>
      </c>
    </row>
    <row r="1487" spans="1:14" x14ac:dyDescent="0.25">
      <c r="A1487" s="3">
        <v>45681</v>
      </c>
      <c r="B1487" s="4">
        <v>2025</v>
      </c>
      <c r="C1487" s="5">
        <v>1490</v>
      </c>
      <c r="D1487" s="5">
        <v>1505</v>
      </c>
      <c r="E1487" s="5">
        <v>1475</v>
      </c>
      <c r="F1487" s="5">
        <v>1490</v>
      </c>
      <c r="G1487" s="5">
        <v>1419.33</v>
      </c>
      <c r="H1487" s="6">
        <v>19564100</v>
      </c>
      <c r="I1487" s="22" t="str">
        <f t="shared" si="149"/>
        <v>0</v>
      </c>
      <c r="J1487" s="7">
        <f t="shared" si="150"/>
        <v>0</v>
      </c>
      <c r="K1487" s="7">
        <f t="shared" si="151"/>
        <v>-36.552705998339555</v>
      </c>
      <c r="L1487" s="2" t="str">
        <f t="shared" si="146"/>
        <v>Normal</v>
      </c>
      <c r="M1487" s="2" t="str">
        <f t="shared" si="147"/>
        <v>Normal</v>
      </c>
      <c r="N1487" s="2" t="str">
        <f t="shared" si="148"/>
        <v>No</v>
      </c>
    </row>
    <row r="1488" spans="1:14" x14ac:dyDescent="0.25">
      <c r="A1488" s="3">
        <v>45687</v>
      </c>
      <c r="B1488" s="4">
        <v>2025</v>
      </c>
      <c r="C1488" s="5">
        <v>1490</v>
      </c>
      <c r="D1488" s="5">
        <v>1490</v>
      </c>
      <c r="E1488" s="5">
        <v>1385</v>
      </c>
      <c r="F1488" s="5">
        <v>1395</v>
      </c>
      <c r="G1488" s="5">
        <v>1328.84</v>
      </c>
      <c r="H1488" s="6">
        <v>92858400</v>
      </c>
      <c r="I1488" s="22" t="str">
        <f t="shared" si="149"/>
        <v>-</v>
      </c>
      <c r="J1488" s="7">
        <f t="shared" si="150"/>
        <v>-6.375838926174497</v>
      </c>
      <c r="K1488" s="7">
        <f t="shared" si="151"/>
        <v>374.63670702971257</v>
      </c>
      <c r="L1488" s="2" t="str">
        <f t="shared" si="146"/>
        <v>Sharp Price Decrease</v>
      </c>
      <c r="M1488" s="2" t="str">
        <f t="shared" si="147"/>
        <v>Sharp Volume Increase</v>
      </c>
      <c r="N1488" s="2" t="str">
        <f t="shared" si="148"/>
        <v>Yes</v>
      </c>
    </row>
    <row r="1489" spans="1:14" x14ac:dyDescent="0.25">
      <c r="A1489" s="3">
        <v>45688</v>
      </c>
      <c r="B1489" s="4">
        <v>2025</v>
      </c>
      <c r="C1489" s="5">
        <v>1405</v>
      </c>
      <c r="D1489" s="5">
        <v>1420</v>
      </c>
      <c r="E1489" s="5">
        <v>1385</v>
      </c>
      <c r="F1489" s="5">
        <v>1390</v>
      </c>
      <c r="G1489" s="5">
        <v>1324.07</v>
      </c>
      <c r="H1489" s="6">
        <v>61882500</v>
      </c>
      <c r="I1489" s="22" t="str">
        <f t="shared" si="149"/>
        <v>-</v>
      </c>
      <c r="J1489" s="7">
        <f t="shared" si="150"/>
        <v>-0.35842293906810035</v>
      </c>
      <c r="K1489" s="7">
        <f t="shared" si="151"/>
        <v>-33.358209919619554</v>
      </c>
      <c r="L1489" s="2" t="str">
        <f t="shared" si="146"/>
        <v>Normal</v>
      </c>
      <c r="M1489" s="2" t="str">
        <f t="shared" si="147"/>
        <v>Normal</v>
      </c>
      <c r="N1489" s="2" t="str">
        <f t="shared" si="148"/>
        <v>No</v>
      </c>
    </row>
    <row r="1490" spans="1:14" x14ac:dyDescent="0.25">
      <c r="A1490" s="3">
        <v>45691</v>
      </c>
      <c r="B1490" s="4">
        <v>2025</v>
      </c>
      <c r="C1490" s="5">
        <v>1395</v>
      </c>
      <c r="D1490" s="5">
        <v>1405</v>
      </c>
      <c r="E1490" s="5">
        <v>1355</v>
      </c>
      <c r="F1490" s="5">
        <v>1380</v>
      </c>
      <c r="G1490" s="5">
        <v>1314.55</v>
      </c>
      <c r="H1490" s="6">
        <v>49107900</v>
      </c>
      <c r="I1490" s="22" t="str">
        <f t="shared" si="149"/>
        <v>-</v>
      </c>
      <c r="J1490" s="7">
        <f t="shared" si="150"/>
        <v>-0.71942446043165476</v>
      </c>
      <c r="K1490" s="7">
        <f t="shared" si="151"/>
        <v>-20.64331596170161</v>
      </c>
      <c r="L1490" s="2" t="str">
        <f t="shared" si="146"/>
        <v>Normal</v>
      </c>
      <c r="M1490" s="2" t="str">
        <f t="shared" si="147"/>
        <v>Normal</v>
      </c>
      <c r="N1490" s="2" t="str">
        <f t="shared" si="148"/>
        <v>No</v>
      </c>
    </row>
    <row r="1491" spans="1:14" x14ac:dyDescent="0.25">
      <c r="A1491" s="3">
        <v>45692</v>
      </c>
      <c r="B1491" s="4">
        <v>2025</v>
      </c>
      <c r="C1491" s="5">
        <v>1395</v>
      </c>
      <c r="D1491" s="5">
        <v>1420</v>
      </c>
      <c r="E1491" s="5">
        <v>1395</v>
      </c>
      <c r="F1491" s="5">
        <v>1400</v>
      </c>
      <c r="G1491" s="5">
        <v>1333.6</v>
      </c>
      <c r="H1491" s="6">
        <v>67722800</v>
      </c>
      <c r="I1491" s="22" t="str">
        <f t="shared" si="149"/>
        <v>+</v>
      </c>
      <c r="J1491" s="7">
        <f t="shared" si="150"/>
        <v>1.4492753623188406</v>
      </c>
      <c r="K1491" s="7">
        <f t="shared" si="151"/>
        <v>37.906121011079684</v>
      </c>
      <c r="L1491" s="2" t="str">
        <f t="shared" si="146"/>
        <v>Normal</v>
      </c>
      <c r="M1491" s="2" t="str">
        <f t="shared" si="147"/>
        <v>Normal</v>
      </c>
      <c r="N1491" s="2" t="str">
        <f t="shared" si="148"/>
        <v>No</v>
      </c>
    </row>
    <row r="1492" spans="1:14" x14ac:dyDescent="0.25">
      <c r="A1492" s="3">
        <v>45693</v>
      </c>
      <c r="B1492" s="4">
        <v>2025</v>
      </c>
      <c r="C1492" s="5">
        <v>1410</v>
      </c>
      <c r="D1492" s="5">
        <v>1450</v>
      </c>
      <c r="E1492" s="5">
        <v>1395</v>
      </c>
      <c r="F1492" s="5">
        <v>1450</v>
      </c>
      <c r="G1492" s="5">
        <v>1381.23</v>
      </c>
      <c r="H1492" s="6">
        <v>87360400</v>
      </c>
      <c r="I1492" s="22" t="str">
        <f t="shared" si="149"/>
        <v>+</v>
      </c>
      <c r="J1492" s="7">
        <f t="shared" si="150"/>
        <v>3.5714285714285712</v>
      </c>
      <c r="K1492" s="7">
        <f t="shared" si="151"/>
        <v>28.997029065543657</v>
      </c>
      <c r="L1492" s="2" t="str">
        <f t="shared" si="146"/>
        <v>Normal</v>
      </c>
      <c r="M1492" s="2" t="str">
        <f t="shared" si="147"/>
        <v>Normal</v>
      </c>
      <c r="N1492" s="2" t="str">
        <f t="shared" si="148"/>
        <v>No</v>
      </c>
    </row>
    <row r="1493" spans="1:14" x14ac:dyDescent="0.25">
      <c r="A1493" s="3">
        <v>45694</v>
      </c>
      <c r="B1493" s="4">
        <v>2025</v>
      </c>
      <c r="C1493" s="5">
        <v>1450</v>
      </c>
      <c r="D1493" s="5">
        <v>1455</v>
      </c>
      <c r="E1493" s="5">
        <v>1385</v>
      </c>
      <c r="F1493" s="5">
        <v>1400</v>
      </c>
      <c r="G1493" s="5">
        <v>1333.6</v>
      </c>
      <c r="H1493" s="6">
        <v>60107000</v>
      </c>
      <c r="I1493" s="22" t="str">
        <f t="shared" si="149"/>
        <v>-</v>
      </c>
      <c r="J1493" s="7">
        <f t="shared" si="150"/>
        <v>-3.4482758620689653</v>
      </c>
      <c r="K1493" s="7">
        <f t="shared" si="151"/>
        <v>-31.19651466797313</v>
      </c>
      <c r="L1493" s="2" t="str">
        <f t="shared" si="146"/>
        <v>Normal</v>
      </c>
      <c r="M1493" s="2" t="str">
        <f t="shared" si="147"/>
        <v>Normal</v>
      </c>
      <c r="N1493" s="2" t="str">
        <f t="shared" si="148"/>
        <v>No</v>
      </c>
    </row>
    <row r="1494" spans="1:14" x14ac:dyDescent="0.25">
      <c r="A1494" s="3">
        <v>45695</v>
      </c>
      <c r="B1494" s="4">
        <v>2025</v>
      </c>
      <c r="C1494" s="5">
        <v>1400</v>
      </c>
      <c r="D1494" s="5">
        <v>1435</v>
      </c>
      <c r="E1494" s="5">
        <v>1365</v>
      </c>
      <c r="F1494" s="5">
        <v>1430</v>
      </c>
      <c r="G1494" s="5">
        <v>1362.18</v>
      </c>
      <c r="H1494" s="6">
        <v>54097100</v>
      </c>
      <c r="I1494" s="22" t="str">
        <f t="shared" si="149"/>
        <v>+</v>
      </c>
      <c r="J1494" s="7">
        <f t="shared" si="150"/>
        <v>2.1428571428571428</v>
      </c>
      <c r="K1494" s="7">
        <f t="shared" si="151"/>
        <v>-9.9986690402116238</v>
      </c>
      <c r="L1494" s="2" t="str">
        <f t="shared" si="146"/>
        <v>Normal</v>
      </c>
      <c r="M1494" s="2" t="str">
        <f t="shared" si="147"/>
        <v>Normal</v>
      </c>
      <c r="N1494" s="2" t="str">
        <f t="shared" si="148"/>
        <v>No</v>
      </c>
    </row>
    <row r="1495" spans="1:14" x14ac:dyDescent="0.25">
      <c r="A1495" s="3">
        <v>45698</v>
      </c>
      <c r="B1495" s="4">
        <v>2025</v>
      </c>
      <c r="C1495" s="5">
        <v>1435</v>
      </c>
      <c r="D1495" s="5">
        <v>1435</v>
      </c>
      <c r="E1495" s="5">
        <v>1380</v>
      </c>
      <c r="F1495" s="5">
        <v>1385</v>
      </c>
      <c r="G1495" s="5">
        <v>1319.31</v>
      </c>
      <c r="H1495" s="6">
        <v>40971800</v>
      </c>
      <c r="I1495" s="22" t="str">
        <f t="shared" si="149"/>
        <v>-</v>
      </c>
      <c r="J1495" s="7">
        <f t="shared" si="150"/>
        <v>-3.1468531468531471</v>
      </c>
      <c r="K1495" s="7">
        <f t="shared" si="151"/>
        <v>-24.262483571208069</v>
      </c>
      <c r="L1495" s="2" t="str">
        <f t="shared" si="146"/>
        <v>Normal</v>
      </c>
      <c r="M1495" s="2" t="str">
        <f t="shared" si="147"/>
        <v>Normal</v>
      </c>
      <c r="N1495" s="2" t="str">
        <f t="shared" si="148"/>
        <v>No</v>
      </c>
    </row>
    <row r="1496" spans="1:14" x14ac:dyDescent="0.25">
      <c r="A1496" s="3">
        <v>45699</v>
      </c>
      <c r="B1496" s="4">
        <v>2025</v>
      </c>
      <c r="C1496" s="5">
        <v>1405</v>
      </c>
      <c r="D1496" s="5">
        <v>1420</v>
      </c>
      <c r="E1496" s="5">
        <v>1380</v>
      </c>
      <c r="F1496" s="5">
        <v>1400</v>
      </c>
      <c r="G1496" s="5">
        <v>1333.6</v>
      </c>
      <c r="H1496" s="6">
        <v>52510000</v>
      </c>
      <c r="I1496" s="22" t="str">
        <f t="shared" si="149"/>
        <v>+</v>
      </c>
      <c r="J1496" s="7">
        <f t="shared" si="150"/>
        <v>1.0830324909747291</v>
      </c>
      <c r="K1496" s="7">
        <f t="shared" si="151"/>
        <v>28.161320713271081</v>
      </c>
      <c r="L1496" s="2" t="str">
        <f t="shared" si="146"/>
        <v>Normal</v>
      </c>
      <c r="M1496" s="2" t="str">
        <f t="shared" si="147"/>
        <v>Normal</v>
      </c>
      <c r="N1496" s="2" t="str">
        <f t="shared" si="148"/>
        <v>No</v>
      </c>
    </row>
    <row r="1497" spans="1:14" x14ac:dyDescent="0.25">
      <c r="A1497" s="3">
        <v>45700</v>
      </c>
      <c r="B1497" s="4">
        <v>2025</v>
      </c>
      <c r="C1497" s="5">
        <v>1405</v>
      </c>
      <c r="D1497" s="5">
        <v>1405</v>
      </c>
      <c r="E1497" s="5">
        <v>1380</v>
      </c>
      <c r="F1497" s="5">
        <v>1395</v>
      </c>
      <c r="G1497" s="5">
        <v>1328.84</v>
      </c>
      <c r="H1497" s="6">
        <v>33267100</v>
      </c>
      <c r="I1497" s="22" t="str">
        <f t="shared" si="149"/>
        <v>-</v>
      </c>
      <c r="J1497" s="7">
        <f t="shared" si="150"/>
        <v>-0.35714285714285715</v>
      </c>
      <c r="K1497" s="7">
        <f t="shared" si="151"/>
        <v>-36.646162635688441</v>
      </c>
      <c r="L1497" s="2" t="str">
        <f t="shared" si="146"/>
        <v>Normal</v>
      </c>
      <c r="M1497" s="2" t="str">
        <f t="shared" si="147"/>
        <v>Normal</v>
      </c>
      <c r="N1497" s="2" t="str">
        <f t="shared" si="148"/>
        <v>No</v>
      </c>
    </row>
    <row r="1498" spans="1:14" x14ac:dyDescent="0.25">
      <c r="A1498" s="3">
        <v>45701</v>
      </c>
      <c r="B1498" s="4">
        <v>2025</v>
      </c>
      <c r="C1498" s="5">
        <v>1395</v>
      </c>
      <c r="D1498" s="5">
        <v>1470</v>
      </c>
      <c r="E1498" s="5">
        <v>1395</v>
      </c>
      <c r="F1498" s="5">
        <v>1470</v>
      </c>
      <c r="G1498" s="5">
        <v>1400.28</v>
      </c>
      <c r="H1498" s="6">
        <v>90550900</v>
      </c>
      <c r="I1498" s="22" t="str">
        <f t="shared" si="149"/>
        <v>+</v>
      </c>
      <c r="J1498" s="7">
        <f t="shared" si="150"/>
        <v>5.376344086021505</v>
      </c>
      <c r="K1498" s="7">
        <f t="shared" si="151"/>
        <v>172.19354858103051</v>
      </c>
      <c r="L1498" s="2" t="str">
        <f t="shared" si="146"/>
        <v>Sharp Price Increase</v>
      </c>
      <c r="M1498" s="2" t="str">
        <f t="shared" si="147"/>
        <v>Sharp Volume Increase</v>
      </c>
      <c r="N1498" s="2" t="str">
        <f t="shared" si="148"/>
        <v>Yes</v>
      </c>
    </row>
    <row r="1499" spans="1:14" x14ac:dyDescent="0.25">
      <c r="A1499" s="3">
        <v>45702</v>
      </c>
      <c r="B1499" s="4">
        <v>2025</v>
      </c>
      <c r="C1499" s="5">
        <v>1475</v>
      </c>
      <c r="D1499" s="5">
        <v>1535</v>
      </c>
      <c r="E1499" s="5">
        <v>1475</v>
      </c>
      <c r="F1499" s="5">
        <v>1530</v>
      </c>
      <c r="G1499" s="5">
        <v>1457.43</v>
      </c>
      <c r="H1499" s="6">
        <v>121036100</v>
      </c>
      <c r="I1499" s="22" t="str">
        <f t="shared" si="149"/>
        <v>+</v>
      </c>
      <c r="J1499" s="7">
        <f t="shared" si="150"/>
        <v>4.0816326530612246</v>
      </c>
      <c r="K1499" s="7">
        <f t="shared" si="151"/>
        <v>33.666368859945067</v>
      </c>
      <c r="L1499" s="2" t="str">
        <f t="shared" si="146"/>
        <v>Normal</v>
      </c>
      <c r="M1499" s="2" t="str">
        <f t="shared" si="147"/>
        <v>Normal</v>
      </c>
      <c r="N1499" s="2" t="str">
        <f t="shared" si="148"/>
        <v>No</v>
      </c>
    </row>
    <row r="1500" spans="1:14" x14ac:dyDescent="0.25">
      <c r="A1500" s="3">
        <v>45705</v>
      </c>
      <c r="B1500" s="4">
        <v>2025</v>
      </c>
      <c r="C1500" s="5">
        <v>1530</v>
      </c>
      <c r="D1500" s="5">
        <v>1560</v>
      </c>
      <c r="E1500" s="5">
        <v>1515</v>
      </c>
      <c r="F1500" s="5">
        <v>1555</v>
      </c>
      <c r="G1500" s="5">
        <v>1481.25</v>
      </c>
      <c r="H1500" s="6">
        <v>67708700</v>
      </c>
      <c r="I1500" s="22" t="str">
        <f t="shared" si="149"/>
        <v>+</v>
      </c>
      <c r="J1500" s="7">
        <f t="shared" si="150"/>
        <v>1.6339869281045754</v>
      </c>
      <c r="K1500" s="7">
        <f t="shared" si="151"/>
        <v>-44.059086503943867</v>
      </c>
      <c r="L1500" s="2" t="str">
        <f t="shared" si="146"/>
        <v>Normal</v>
      </c>
      <c r="M1500" s="2" t="str">
        <f t="shared" si="147"/>
        <v>Normal</v>
      </c>
      <c r="N1500" s="2" t="str">
        <f t="shared" si="148"/>
        <v>No</v>
      </c>
    </row>
    <row r="1501" spans="1:14" x14ac:dyDescent="0.25">
      <c r="A1501" s="3">
        <v>45706</v>
      </c>
      <c r="B1501" s="4">
        <v>2025</v>
      </c>
      <c r="C1501" s="5">
        <v>1555</v>
      </c>
      <c r="D1501" s="5">
        <v>1570</v>
      </c>
      <c r="E1501" s="5">
        <v>1535</v>
      </c>
      <c r="F1501" s="5">
        <v>1550</v>
      </c>
      <c r="G1501" s="5">
        <v>1476.49</v>
      </c>
      <c r="H1501" s="6">
        <v>33927800</v>
      </c>
      <c r="I1501" s="22" t="str">
        <f t="shared" si="149"/>
        <v>-</v>
      </c>
      <c r="J1501" s="7">
        <f t="shared" si="150"/>
        <v>-0.32154340836012862</v>
      </c>
      <c r="K1501" s="7">
        <f t="shared" si="151"/>
        <v>-49.891520587457741</v>
      </c>
      <c r="L1501" s="2" t="str">
        <f t="shared" si="146"/>
        <v>Normal</v>
      </c>
      <c r="M1501" s="2" t="str">
        <f t="shared" si="147"/>
        <v>Normal</v>
      </c>
      <c r="N1501" s="2" t="str">
        <f t="shared" si="148"/>
        <v>No</v>
      </c>
    </row>
    <row r="1502" spans="1:14" x14ac:dyDescent="0.25">
      <c r="A1502" s="3">
        <v>45707</v>
      </c>
      <c r="B1502" s="4">
        <v>2025</v>
      </c>
      <c r="C1502" s="5">
        <v>1565</v>
      </c>
      <c r="D1502" s="5">
        <v>1595</v>
      </c>
      <c r="E1502" s="5">
        <v>1560</v>
      </c>
      <c r="F1502" s="5">
        <v>1575</v>
      </c>
      <c r="G1502" s="5">
        <v>1500.3</v>
      </c>
      <c r="H1502" s="6">
        <v>64348100</v>
      </c>
      <c r="I1502" s="22" t="str">
        <f t="shared" si="149"/>
        <v>+</v>
      </c>
      <c r="J1502" s="7">
        <f t="shared" si="150"/>
        <v>1.6129032258064515</v>
      </c>
      <c r="K1502" s="7">
        <f t="shared" si="151"/>
        <v>89.661870206733113</v>
      </c>
      <c r="L1502" s="2" t="str">
        <f t="shared" si="146"/>
        <v>Normal</v>
      </c>
      <c r="M1502" s="2" t="str">
        <f t="shared" si="147"/>
        <v>Normal</v>
      </c>
      <c r="N1502" s="2" t="str">
        <f t="shared" si="148"/>
        <v>No</v>
      </c>
    </row>
    <row r="1503" spans="1:14" x14ac:dyDescent="0.25">
      <c r="A1503" s="3">
        <v>45708</v>
      </c>
      <c r="B1503" s="4">
        <v>2025</v>
      </c>
      <c r="C1503" s="5">
        <v>1575</v>
      </c>
      <c r="D1503" s="5">
        <v>1690</v>
      </c>
      <c r="E1503" s="5">
        <v>1570</v>
      </c>
      <c r="F1503" s="5">
        <v>1685</v>
      </c>
      <c r="G1503" s="5">
        <v>1605.08</v>
      </c>
      <c r="H1503" s="6">
        <v>167232000</v>
      </c>
      <c r="I1503" s="22" t="str">
        <f t="shared" si="149"/>
        <v>+</v>
      </c>
      <c r="J1503" s="7">
        <f t="shared" si="150"/>
        <v>6.9841269841269842</v>
      </c>
      <c r="K1503" s="7">
        <f t="shared" si="151"/>
        <v>159.88646129411745</v>
      </c>
      <c r="L1503" s="2" t="str">
        <f t="shared" si="146"/>
        <v>Sharp Price Increase</v>
      </c>
      <c r="M1503" s="2" t="str">
        <f t="shared" si="147"/>
        <v>Normal</v>
      </c>
      <c r="N1503" s="2" t="str">
        <f t="shared" si="148"/>
        <v>No</v>
      </c>
    </row>
    <row r="1504" spans="1:14" x14ac:dyDescent="0.25">
      <c r="A1504" s="3">
        <v>45709</v>
      </c>
      <c r="B1504" s="4">
        <v>2025</v>
      </c>
      <c r="C1504" s="5">
        <v>1685</v>
      </c>
      <c r="D1504" s="5">
        <v>1685</v>
      </c>
      <c r="E1504" s="5">
        <v>1620</v>
      </c>
      <c r="F1504" s="5">
        <v>1620</v>
      </c>
      <c r="G1504" s="5">
        <v>1543.17</v>
      </c>
      <c r="H1504" s="6">
        <v>75344800</v>
      </c>
      <c r="I1504" s="22" t="str">
        <f t="shared" si="149"/>
        <v>-</v>
      </c>
      <c r="J1504" s="7">
        <f t="shared" si="150"/>
        <v>-3.857566765578635</v>
      </c>
      <c r="K1504" s="7">
        <f t="shared" si="151"/>
        <v>-54.945943360122463</v>
      </c>
      <c r="L1504" s="2" t="str">
        <f t="shared" si="146"/>
        <v>Normal</v>
      </c>
      <c r="M1504" s="2" t="str">
        <f t="shared" si="147"/>
        <v>Normal</v>
      </c>
      <c r="N1504" s="2" t="str">
        <f t="shared" si="148"/>
        <v>No</v>
      </c>
    </row>
    <row r="1505" spans="1:14" x14ac:dyDescent="0.25">
      <c r="A1505" s="3">
        <v>45712</v>
      </c>
      <c r="B1505" s="4">
        <v>2025</v>
      </c>
      <c r="C1505" s="5">
        <v>1630</v>
      </c>
      <c r="D1505" s="5">
        <v>1675</v>
      </c>
      <c r="E1505" s="5">
        <v>1630</v>
      </c>
      <c r="F1505" s="5">
        <v>1640</v>
      </c>
      <c r="G1505" s="5">
        <v>1562.22</v>
      </c>
      <c r="H1505" s="6">
        <v>52458900</v>
      </c>
      <c r="I1505" s="22" t="str">
        <f t="shared" si="149"/>
        <v>+</v>
      </c>
      <c r="J1505" s="7">
        <f t="shared" si="150"/>
        <v>1.2345679012345678</v>
      </c>
      <c r="K1505" s="7">
        <f t="shared" si="151"/>
        <v>-30.374889839776596</v>
      </c>
      <c r="L1505" s="2" t="str">
        <f t="shared" si="146"/>
        <v>Normal</v>
      </c>
      <c r="M1505" s="2" t="str">
        <f t="shared" si="147"/>
        <v>Normal</v>
      </c>
      <c r="N1505" s="2" t="str">
        <f t="shared" si="148"/>
        <v>No</v>
      </c>
    </row>
    <row r="1506" spans="1:14" x14ac:dyDescent="0.25">
      <c r="A1506" s="3">
        <v>45713</v>
      </c>
      <c r="B1506" s="4">
        <v>2025</v>
      </c>
      <c r="C1506" s="5">
        <v>1650</v>
      </c>
      <c r="D1506" s="5">
        <v>1665</v>
      </c>
      <c r="E1506" s="5">
        <v>1600</v>
      </c>
      <c r="F1506" s="5">
        <v>1635</v>
      </c>
      <c r="G1506" s="5">
        <v>1557.45</v>
      </c>
      <c r="H1506" s="6">
        <v>60916100</v>
      </c>
      <c r="I1506" s="22" t="str">
        <f t="shared" si="149"/>
        <v>-</v>
      </c>
      <c r="J1506" s="7">
        <f t="shared" si="150"/>
        <v>-0.3048780487804878</v>
      </c>
      <c r="K1506" s="7">
        <f t="shared" si="151"/>
        <v>16.12157326974069</v>
      </c>
      <c r="L1506" s="2" t="str">
        <f t="shared" si="146"/>
        <v>Normal</v>
      </c>
      <c r="M1506" s="2" t="str">
        <f t="shared" si="147"/>
        <v>Normal</v>
      </c>
      <c r="N1506" s="2" t="str">
        <f t="shared" si="148"/>
        <v>No</v>
      </c>
    </row>
    <row r="1507" spans="1:14" x14ac:dyDescent="0.25">
      <c r="A1507" s="3">
        <v>45714</v>
      </c>
      <c r="B1507" s="4">
        <v>2025</v>
      </c>
      <c r="C1507" s="5">
        <v>1635</v>
      </c>
      <c r="D1507" s="5">
        <v>1640</v>
      </c>
      <c r="E1507" s="5">
        <v>1605</v>
      </c>
      <c r="F1507" s="5">
        <v>1630</v>
      </c>
      <c r="G1507" s="5">
        <v>1552.69</v>
      </c>
      <c r="H1507" s="6">
        <v>51465900</v>
      </c>
      <c r="I1507" s="22" t="str">
        <f t="shared" si="149"/>
        <v>-</v>
      </c>
      <c r="J1507" s="7">
        <f t="shared" si="150"/>
        <v>-0.3058103975535168</v>
      </c>
      <c r="K1507" s="7">
        <f t="shared" si="151"/>
        <v>-15.513468524741405</v>
      </c>
      <c r="L1507" s="2" t="str">
        <f t="shared" si="146"/>
        <v>Normal</v>
      </c>
      <c r="M1507" s="2" t="str">
        <f t="shared" si="147"/>
        <v>Normal</v>
      </c>
      <c r="N1507" s="2" t="str">
        <f t="shared" si="148"/>
        <v>No</v>
      </c>
    </row>
    <row r="1508" spans="1:14" x14ac:dyDescent="0.25">
      <c r="A1508" s="3">
        <v>45715</v>
      </c>
      <c r="B1508" s="4">
        <v>2025</v>
      </c>
      <c r="C1508" s="5">
        <v>1630</v>
      </c>
      <c r="D1508" s="5">
        <v>1650</v>
      </c>
      <c r="E1508" s="5">
        <v>1610</v>
      </c>
      <c r="F1508" s="5">
        <v>1625</v>
      </c>
      <c r="G1508" s="5">
        <v>1547.93</v>
      </c>
      <c r="H1508" s="6">
        <v>44544100</v>
      </c>
      <c r="I1508" s="22" t="str">
        <f t="shared" si="149"/>
        <v>-</v>
      </c>
      <c r="J1508" s="7">
        <f t="shared" si="150"/>
        <v>-0.30674846625766872</v>
      </c>
      <c r="K1508" s="7">
        <f t="shared" si="151"/>
        <v>-13.449293609943672</v>
      </c>
      <c r="L1508" s="2" t="str">
        <f t="shared" si="146"/>
        <v>Normal</v>
      </c>
      <c r="M1508" s="2" t="str">
        <f t="shared" si="147"/>
        <v>Normal</v>
      </c>
      <c r="N1508" s="2" t="str">
        <f t="shared" si="148"/>
        <v>No</v>
      </c>
    </row>
    <row r="1509" spans="1:14" x14ac:dyDescent="0.25">
      <c r="A1509" s="3">
        <v>45716</v>
      </c>
      <c r="B1509" s="4">
        <v>2025</v>
      </c>
      <c r="C1509" s="5">
        <v>1615</v>
      </c>
      <c r="D1509" s="5">
        <v>1615</v>
      </c>
      <c r="E1509" s="5">
        <v>1505</v>
      </c>
      <c r="F1509" s="5">
        <v>1585</v>
      </c>
      <c r="G1509" s="5">
        <v>1509.83</v>
      </c>
      <c r="H1509" s="6">
        <v>88545000</v>
      </c>
      <c r="I1509" s="22" t="str">
        <f t="shared" si="149"/>
        <v>-</v>
      </c>
      <c r="J1509" s="7">
        <f t="shared" si="150"/>
        <v>-2.4615384615384617</v>
      </c>
      <c r="K1509" s="7">
        <f t="shared" si="151"/>
        <v>98.780534346860748</v>
      </c>
      <c r="L1509" s="2" t="str">
        <f t="shared" si="146"/>
        <v>Normal</v>
      </c>
      <c r="M1509" s="2" t="str">
        <f t="shared" si="147"/>
        <v>Normal</v>
      </c>
      <c r="N1509" s="2" t="str">
        <f t="shared" si="148"/>
        <v>No</v>
      </c>
    </row>
    <row r="1510" spans="1:14" x14ac:dyDescent="0.25">
      <c r="A1510" s="3">
        <v>45719</v>
      </c>
      <c r="B1510" s="4">
        <v>2025</v>
      </c>
      <c r="C1510" s="5">
        <v>1580</v>
      </c>
      <c r="D1510" s="5">
        <v>1610</v>
      </c>
      <c r="E1510" s="5">
        <v>1555</v>
      </c>
      <c r="F1510" s="5">
        <v>1585</v>
      </c>
      <c r="G1510" s="5">
        <v>1509.83</v>
      </c>
      <c r="H1510" s="6">
        <v>88386800</v>
      </c>
      <c r="I1510" s="22" t="str">
        <f t="shared" si="149"/>
        <v>0</v>
      </c>
      <c r="J1510" s="7">
        <f t="shared" si="150"/>
        <v>0</v>
      </c>
      <c r="K1510" s="7">
        <f t="shared" si="151"/>
        <v>-0.17866621491896775</v>
      </c>
      <c r="L1510" s="2" t="str">
        <f t="shared" si="146"/>
        <v>Normal</v>
      </c>
      <c r="M1510" s="2" t="str">
        <f t="shared" si="147"/>
        <v>Normal</v>
      </c>
      <c r="N1510" s="2" t="str">
        <f t="shared" si="148"/>
        <v>No</v>
      </c>
    </row>
    <row r="1511" spans="1:14" x14ac:dyDescent="0.25">
      <c r="A1511" s="3">
        <v>45720</v>
      </c>
      <c r="B1511" s="4">
        <v>2025</v>
      </c>
      <c r="C1511" s="5">
        <v>1595</v>
      </c>
      <c r="D1511" s="5">
        <v>1615</v>
      </c>
      <c r="E1511" s="5">
        <v>1530</v>
      </c>
      <c r="F1511" s="5">
        <v>1540</v>
      </c>
      <c r="G1511" s="5">
        <v>1466.96</v>
      </c>
      <c r="H1511" s="6">
        <v>45571400</v>
      </c>
      <c r="I1511" s="22" t="str">
        <f t="shared" si="149"/>
        <v>-</v>
      </c>
      <c r="J1511" s="7">
        <f t="shared" si="150"/>
        <v>-2.8391167192429023</v>
      </c>
      <c r="K1511" s="7">
        <f t="shared" si="151"/>
        <v>-48.440943670321815</v>
      </c>
      <c r="L1511" s="2" t="str">
        <f t="shared" si="146"/>
        <v>Normal</v>
      </c>
      <c r="M1511" s="2" t="str">
        <f t="shared" si="147"/>
        <v>Normal</v>
      </c>
      <c r="N1511" s="2" t="str">
        <f t="shared" si="148"/>
        <v>No</v>
      </c>
    </row>
    <row r="1512" spans="1:14" x14ac:dyDescent="0.25">
      <c r="A1512" s="3">
        <v>45721</v>
      </c>
      <c r="B1512" s="4">
        <v>2025</v>
      </c>
      <c r="C1512" s="5">
        <v>1545</v>
      </c>
      <c r="D1512" s="5">
        <v>1630</v>
      </c>
      <c r="E1512" s="5">
        <v>1545</v>
      </c>
      <c r="F1512" s="5">
        <v>1620</v>
      </c>
      <c r="G1512" s="5">
        <v>1543.17</v>
      </c>
      <c r="H1512" s="6">
        <v>64897700</v>
      </c>
      <c r="I1512" s="22" t="str">
        <f t="shared" si="149"/>
        <v>+</v>
      </c>
      <c r="J1512" s="7">
        <f t="shared" si="150"/>
        <v>5.1948051948051948</v>
      </c>
      <c r="K1512" s="7">
        <f t="shared" si="151"/>
        <v>42.408835366040982</v>
      </c>
      <c r="L1512" s="2" t="str">
        <f t="shared" si="146"/>
        <v>Normal</v>
      </c>
      <c r="M1512" s="2" t="str">
        <f t="shared" si="147"/>
        <v>Normal</v>
      </c>
      <c r="N1512" s="2" t="str">
        <f t="shared" si="148"/>
        <v>No</v>
      </c>
    </row>
    <row r="1513" spans="1:14" x14ac:dyDescent="0.25">
      <c r="A1513" s="3">
        <v>45722</v>
      </c>
      <c r="B1513" s="4">
        <v>2025</v>
      </c>
      <c r="C1513" s="5">
        <v>1620</v>
      </c>
      <c r="D1513" s="5">
        <v>1645</v>
      </c>
      <c r="E1513" s="5">
        <v>1615</v>
      </c>
      <c r="F1513" s="5">
        <v>1625</v>
      </c>
      <c r="G1513" s="5">
        <v>1547.93</v>
      </c>
      <c r="H1513" s="6">
        <v>34278000</v>
      </c>
      <c r="I1513" s="22" t="str">
        <f t="shared" si="149"/>
        <v>+</v>
      </c>
      <c r="J1513" s="7">
        <f t="shared" si="150"/>
        <v>0.30864197530864196</v>
      </c>
      <c r="K1513" s="7">
        <f t="shared" si="151"/>
        <v>-47.181487171348138</v>
      </c>
      <c r="L1513" s="2" t="str">
        <f t="shared" si="146"/>
        <v>Normal</v>
      </c>
      <c r="M1513" s="2" t="str">
        <f t="shared" si="147"/>
        <v>Normal</v>
      </c>
      <c r="N1513" s="2" t="str">
        <f t="shared" si="148"/>
        <v>No</v>
      </c>
    </row>
    <row r="1514" spans="1:14" x14ac:dyDescent="0.25">
      <c r="A1514" s="3">
        <v>45723</v>
      </c>
      <c r="B1514" s="4">
        <v>2025</v>
      </c>
      <c r="C1514" s="5">
        <v>1625</v>
      </c>
      <c r="D1514" s="5">
        <v>1655</v>
      </c>
      <c r="E1514" s="5">
        <v>1615</v>
      </c>
      <c r="F1514" s="5">
        <v>1630</v>
      </c>
      <c r="G1514" s="5">
        <v>1552.69</v>
      </c>
      <c r="H1514" s="6">
        <v>36726500</v>
      </c>
      <c r="I1514" s="22" t="str">
        <f t="shared" si="149"/>
        <v>+</v>
      </c>
      <c r="J1514" s="7">
        <f t="shared" si="150"/>
        <v>0.30769230769230771</v>
      </c>
      <c r="K1514" s="7">
        <f t="shared" si="151"/>
        <v>7.1430655230760252</v>
      </c>
      <c r="L1514" s="2" t="str">
        <f t="shared" si="146"/>
        <v>Normal</v>
      </c>
      <c r="M1514" s="2" t="str">
        <f t="shared" si="147"/>
        <v>Normal</v>
      </c>
      <c r="N1514" s="2" t="str">
        <f t="shared" si="148"/>
        <v>No</v>
      </c>
    </row>
    <row r="1515" spans="1:14" x14ac:dyDescent="0.25">
      <c r="A1515" s="3">
        <v>45726</v>
      </c>
      <c r="B1515" s="4">
        <v>2025</v>
      </c>
      <c r="C1515" s="5">
        <v>1600</v>
      </c>
      <c r="D1515" s="5">
        <v>1610</v>
      </c>
      <c r="E1515" s="5">
        <v>1475</v>
      </c>
      <c r="F1515" s="5">
        <v>1490</v>
      </c>
      <c r="G1515" s="5">
        <v>1419.33</v>
      </c>
      <c r="H1515" s="6">
        <v>102645500</v>
      </c>
      <c r="I1515" s="22" t="str">
        <f t="shared" si="149"/>
        <v>-</v>
      </c>
      <c r="J1515" s="7">
        <f t="shared" si="150"/>
        <v>-8.5889570552147241</v>
      </c>
      <c r="K1515" s="7">
        <f t="shared" si="151"/>
        <v>179.48620206118198</v>
      </c>
      <c r="L1515" s="2" t="str">
        <f t="shared" si="146"/>
        <v>Sharp Price Decrease</v>
      </c>
      <c r="M1515" s="2" t="str">
        <f t="shared" si="147"/>
        <v>Sharp Volume Increase</v>
      </c>
      <c r="N1515" s="2" t="str">
        <f t="shared" si="148"/>
        <v>Yes</v>
      </c>
    </row>
    <row r="1516" spans="1:14" x14ac:dyDescent="0.25">
      <c r="A1516" s="3">
        <v>45727</v>
      </c>
      <c r="B1516" s="4">
        <v>2025</v>
      </c>
      <c r="C1516" s="5">
        <v>1490</v>
      </c>
      <c r="D1516" s="5">
        <v>1525</v>
      </c>
      <c r="E1516" s="5">
        <v>1465</v>
      </c>
      <c r="F1516" s="5">
        <v>1520</v>
      </c>
      <c r="G1516" s="5">
        <v>1447.91</v>
      </c>
      <c r="H1516" s="6">
        <v>39764400</v>
      </c>
      <c r="I1516" s="22" t="str">
        <f t="shared" si="149"/>
        <v>+</v>
      </c>
      <c r="J1516" s="7">
        <f t="shared" si="150"/>
        <v>2.0134228187919461</v>
      </c>
      <c r="K1516" s="7">
        <f t="shared" si="151"/>
        <v>-61.260454671661201</v>
      </c>
      <c r="L1516" s="2" t="str">
        <f t="shared" si="146"/>
        <v>Normal</v>
      </c>
      <c r="M1516" s="2" t="str">
        <f t="shared" si="147"/>
        <v>Sharp Volume Decrease</v>
      </c>
      <c r="N1516" s="2" t="str">
        <f t="shared" si="148"/>
        <v>No</v>
      </c>
    </row>
    <row r="1517" spans="1:14" x14ac:dyDescent="0.25">
      <c r="A1517" s="3">
        <v>45728</v>
      </c>
      <c r="B1517" s="4">
        <v>2025</v>
      </c>
      <c r="C1517" s="5">
        <v>1545</v>
      </c>
      <c r="D1517" s="5">
        <v>1585</v>
      </c>
      <c r="E1517" s="5">
        <v>1530</v>
      </c>
      <c r="F1517" s="5">
        <v>1545</v>
      </c>
      <c r="G1517" s="5">
        <v>1471.72</v>
      </c>
      <c r="H1517" s="6">
        <v>66399100</v>
      </c>
      <c r="I1517" s="22" t="str">
        <f t="shared" si="149"/>
        <v>+</v>
      </c>
      <c r="J1517" s="7">
        <f t="shared" si="150"/>
        <v>1.6447368421052631</v>
      </c>
      <c r="K1517" s="7">
        <f t="shared" si="151"/>
        <v>66.981269678405809</v>
      </c>
      <c r="L1517" s="2" t="str">
        <f t="shared" si="146"/>
        <v>Normal</v>
      </c>
      <c r="M1517" s="2" t="str">
        <f t="shared" si="147"/>
        <v>Normal</v>
      </c>
      <c r="N1517" s="2" t="str">
        <f t="shared" si="148"/>
        <v>No</v>
      </c>
    </row>
    <row r="1518" spans="1:14" x14ac:dyDescent="0.25">
      <c r="A1518" s="3">
        <v>45729</v>
      </c>
      <c r="B1518" s="4">
        <v>2025</v>
      </c>
      <c r="C1518" s="5">
        <v>1550</v>
      </c>
      <c r="D1518" s="5">
        <v>1570</v>
      </c>
      <c r="E1518" s="5">
        <v>1520</v>
      </c>
      <c r="F1518" s="5">
        <v>1535</v>
      </c>
      <c r="G1518" s="5">
        <v>1462.2</v>
      </c>
      <c r="H1518" s="6">
        <v>47350400</v>
      </c>
      <c r="I1518" s="22" t="str">
        <f t="shared" si="149"/>
        <v>-</v>
      </c>
      <c r="J1518" s="7">
        <f t="shared" si="150"/>
        <v>-0.64724919093851141</v>
      </c>
      <c r="K1518" s="7">
        <f t="shared" si="151"/>
        <v>-28.688190050768757</v>
      </c>
      <c r="L1518" s="2" t="str">
        <f t="shared" si="146"/>
        <v>Normal</v>
      </c>
      <c r="M1518" s="2" t="str">
        <f t="shared" si="147"/>
        <v>Normal</v>
      </c>
      <c r="N1518" s="2" t="str">
        <f t="shared" si="148"/>
        <v>No</v>
      </c>
    </row>
    <row r="1519" spans="1:14" x14ac:dyDescent="0.25">
      <c r="A1519" s="3">
        <v>45730</v>
      </c>
      <c r="B1519" s="4">
        <v>2025</v>
      </c>
      <c r="C1519" s="5">
        <v>1560</v>
      </c>
      <c r="D1519" s="5">
        <v>1615</v>
      </c>
      <c r="E1519" s="5">
        <v>1560</v>
      </c>
      <c r="F1519" s="5">
        <v>1590</v>
      </c>
      <c r="G1519" s="5">
        <v>1514.59</v>
      </c>
      <c r="H1519" s="6">
        <v>64294500</v>
      </c>
      <c r="I1519" s="22" t="str">
        <f t="shared" si="149"/>
        <v>+</v>
      </c>
      <c r="J1519" s="7">
        <f t="shared" si="150"/>
        <v>3.5830618892508146</v>
      </c>
      <c r="K1519" s="7">
        <f t="shared" si="151"/>
        <v>35.784491788876124</v>
      </c>
      <c r="L1519" s="2" t="str">
        <f t="shared" si="146"/>
        <v>Normal</v>
      </c>
      <c r="M1519" s="2" t="str">
        <f t="shared" si="147"/>
        <v>Normal</v>
      </c>
      <c r="N1519" s="2" t="str">
        <f t="shared" si="148"/>
        <v>No</v>
      </c>
    </row>
    <row r="1520" spans="1:14" x14ac:dyDescent="0.25">
      <c r="A1520" s="3">
        <v>45733</v>
      </c>
      <c r="B1520" s="4">
        <v>2025</v>
      </c>
      <c r="C1520" s="5">
        <v>1620</v>
      </c>
      <c r="D1520" s="5">
        <v>1690</v>
      </c>
      <c r="E1520" s="5">
        <v>1615</v>
      </c>
      <c r="F1520" s="5">
        <v>1655</v>
      </c>
      <c r="G1520" s="5">
        <v>1576.51</v>
      </c>
      <c r="H1520" s="6">
        <v>101971200</v>
      </c>
      <c r="I1520" s="22" t="str">
        <f t="shared" si="149"/>
        <v>+</v>
      </c>
      <c r="J1520" s="7">
        <f t="shared" si="150"/>
        <v>4.0880503144654083</v>
      </c>
      <c r="K1520" s="7">
        <f t="shared" si="151"/>
        <v>58.60019130718802</v>
      </c>
      <c r="L1520" s="2" t="str">
        <f t="shared" si="146"/>
        <v>Normal</v>
      </c>
      <c r="M1520" s="2" t="str">
        <f t="shared" si="147"/>
        <v>Normal</v>
      </c>
      <c r="N1520" s="2" t="str">
        <f t="shared" si="148"/>
        <v>No</v>
      </c>
    </row>
    <row r="1521" spans="1:14" x14ac:dyDescent="0.25">
      <c r="A1521" s="3">
        <v>45734</v>
      </c>
      <c r="B1521" s="4">
        <v>2025</v>
      </c>
      <c r="C1521" s="5">
        <v>1660</v>
      </c>
      <c r="D1521" s="5">
        <v>1670</v>
      </c>
      <c r="E1521" s="5">
        <v>1545</v>
      </c>
      <c r="F1521" s="5">
        <v>1635</v>
      </c>
      <c r="G1521" s="5">
        <v>1557.45</v>
      </c>
      <c r="H1521" s="6">
        <v>72950300</v>
      </c>
      <c r="I1521" s="22" t="str">
        <f t="shared" si="149"/>
        <v>-</v>
      </c>
      <c r="J1521" s="7">
        <f t="shared" si="150"/>
        <v>-1.2084592145015105</v>
      </c>
      <c r="K1521" s="7">
        <f t="shared" si="151"/>
        <v>-28.459898481139774</v>
      </c>
      <c r="L1521" s="2" t="str">
        <f t="shared" si="146"/>
        <v>Normal</v>
      </c>
      <c r="M1521" s="2" t="str">
        <f t="shared" si="147"/>
        <v>Normal</v>
      </c>
      <c r="N1521" s="2" t="str">
        <f t="shared" si="148"/>
        <v>No</v>
      </c>
    </row>
    <row r="1522" spans="1:14" x14ac:dyDescent="0.25">
      <c r="A1522" s="3">
        <v>45735</v>
      </c>
      <c r="B1522" s="4">
        <v>2025</v>
      </c>
      <c r="C1522" s="5">
        <v>1640</v>
      </c>
      <c r="D1522" s="5">
        <v>1670</v>
      </c>
      <c r="E1522" s="5">
        <v>1620</v>
      </c>
      <c r="F1522" s="5">
        <v>1660</v>
      </c>
      <c r="G1522" s="5">
        <v>1581.27</v>
      </c>
      <c r="H1522" s="6">
        <v>60532100</v>
      </c>
      <c r="I1522" s="22" t="str">
        <f t="shared" si="149"/>
        <v>+</v>
      </c>
      <c r="J1522" s="7">
        <f t="shared" si="150"/>
        <v>1.5290519877675841</v>
      </c>
      <c r="K1522" s="7">
        <f t="shared" si="151"/>
        <v>-17.022822387296557</v>
      </c>
      <c r="L1522" s="2" t="str">
        <f t="shared" si="146"/>
        <v>Normal</v>
      </c>
      <c r="M1522" s="2" t="str">
        <f t="shared" si="147"/>
        <v>Normal</v>
      </c>
      <c r="N1522" s="2" t="str">
        <f t="shared" si="148"/>
        <v>No</v>
      </c>
    </row>
    <row r="1523" spans="1:14" x14ac:dyDescent="0.25">
      <c r="A1523" s="3">
        <v>45736</v>
      </c>
      <c r="B1523" s="4">
        <v>2025</v>
      </c>
      <c r="C1523" s="5">
        <v>1660</v>
      </c>
      <c r="D1523" s="5">
        <v>1685</v>
      </c>
      <c r="E1523" s="5">
        <v>1640</v>
      </c>
      <c r="F1523" s="5">
        <v>1645</v>
      </c>
      <c r="G1523" s="5">
        <v>1566.98</v>
      </c>
      <c r="H1523" s="6">
        <v>59817400</v>
      </c>
      <c r="I1523" s="22" t="str">
        <f t="shared" si="149"/>
        <v>-</v>
      </c>
      <c r="J1523" s="7">
        <f t="shared" si="150"/>
        <v>-0.90361445783132521</v>
      </c>
      <c r="K1523" s="7">
        <f t="shared" si="151"/>
        <v>-1.1806958621954302</v>
      </c>
      <c r="L1523" s="2" t="str">
        <f t="shared" si="146"/>
        <v>Normal</v>
      </c>
      <c r="M1523" s="2" t="str">
        <f t="shared" si="147"/>
        <v>Normal</v>
      </c>
      <c r="N1523" s="2" t="str">
        <f t="shared" si="148"/>
        <v>No</v>
      </c>
    </row>
    <row r="1524" spans="1:14" x14ac:dyDescent="0.25">
      <c r="A1524" s="3">
        <v>45737</v>
      </c>
      <c r="B1524" s="4">
        <v>2025</v>
      </c>
      <c r="C1524" s="5">
        <v>1645</v>
      </c>
      <c r="D1524" s="5">
        <v>1650</v>
      </c>
      <c r="E1524" s="5">
        <v>1580</v>
      </c>
      <c r="F1524" s="5">
        <v>1585</v>
      </c>
      <c r="G1524" s="5">
        <v>1509.83</v>
      </c>
      <c r="H1524" s="6">
        <v>40953200</v>
      </c>
      <c r="I1524" s="22" t="str">
        <f t="shared" si="149"/>
        <v>-</v>
      </c>
      <c r="J1524" s="7">
        <f t="shared" si="150"/>
        <v>-3.6474164133738598</v>
      </c>
      <c r="K1524" s="7">
        <f t="shared" si="151"/>
        <v>-31.536308833215752</v>
      </c>
      <c r="L1524" s="2" t="str">
        <f t="shared" si="146"/>
        <v>Normal</v>
      </c>
      <c r="M1524" s="2" t="str">
        <f t="shared" si="147"/>
        <v>Normal</v>
      </c>
      <c r="N1524" s="2" t="str">
        <f t="shared" si="148"/>
        <v>No</v>
      </c>
    </row>
    <row r="1525" spans="1:14" x14ac:dyDescent="0.25">
      <c r="A1525" s="3">
        <v>45740</v>
      </c>
      <c r="B1525" s="4">
        <v>2025</v>
      </c>
      <c r="C1525" s="5">
        <v>1585</v>
      </c>
      <c r="D1525" s="5">
        <v>1620</v>
      </c>
      <c r="E1525" s="5">
        <v>1535</v>
      </c>
      <c r="F1525" s="5">
        <v>1590</v>
      </c>
      <c r="G1525" s="5">
        <v>1514.59</v>
      </c>
      <c r="H1525" s="6">
        <v>46998300</v>
      </c>
      <c r="I1525" s="22" t="str">
        <f t="shared" si="149"/>
        <v>+</v>
      </c>
      <c r="J1525" s="7">
        <f t="shared" si="150"/>
        <v>0.31545741324921134</v>
      </c>
      <c r="K1525" s="7">
        <f t="shared" si="151"/>
        <v>14.760995477764864</v>
      </c>
      <c r="L1525" s="2" t="str">
        <f t="shared" si="146"/>
        <v>Normal</v>
      </c>
      <c r="M1525" s="2" t="str">
        <f t="shared" si="147"/>
        <v>Normal</v>
      </c>
      <c r="N1525" s="2" t="str">
        <f t="shared" si="148"/>
        <v>No</v>
      </c>
    </row>
    <row r="1526" spans="1:14" x14ac:dyDescent="0.25">
      <c r="A1526" s="3">
        <v>45741</v>
      </c>
      <c r="B1526" s="4">
        <v>2025</v>
      </c>
      <c r="C1526" s="5">
        <v>1595</v>
      </c>
      <c r="D1526" s="5">
        <v>1615</v>
      </c>
      <c r="E1526" s="5">
        <v>1555</v>
      </c>
      <c r="F1526" s="5">
        <v>1600</v>
      </c>
      <c r="G1526" s="5">
        <v>1524.11</v>
      </c>
      <c r="H1526" s="6">
        <v>24572800</v>
      </c>
      <c r="I1526" s="22" t="str">
        <f t="shared" si="149"/>
        <v>+</v>
      </c>
      <c r="J1526" s="7">
        <f t="shared" si="150"/>
        <v>0.62893081761006298</v>
      </c>
      <c r="K1526" s="7">
        <f t="shared" si="151"/>
        <v>-47.715555669034835</v>
      </c>
      <c r="L1526" s="2" t="str">
        <f t="shared" si="146"/>
        <v>Normal</v>
      </c>
      <c r="M1526" s="2" t="str">
        <f t="shared" si="147"/>
        <v>Normal</v>
      </c>
      <c r="N1526" s="2" t="str">
        <f t="shared" si="148"/>
        <v>No</v>
      </c>
    </row>
    <row r="1527" spans="1:14" x14ac:dyDescent="0.25">
      <c r="A1527" s="3">
        <v>45742</v>
      </c>
      <c r="B1527" s="4">
        <v>2025</v>
      </c>
      <c r="C1527" s="5">
        <v>1620</v>
      </c>
      <c r="D1527" s="5">
        <v>1660</v>
      </c>
      <c r="E1527" s="5">
        <v>1615</v>
      </c>
      <c r="F1527" s="5">
        <v>1650</v>
      </c>
      <c r="G1527" s="5">
        <v>1571.74</v>
      </c>
      <c r="H1527" s="6">
        <v>39601200</v>
      </c>
      <c r="I1527" s="22" t="str">
        <f t="shared" si="149"/>
        <v>+</v>
      </c>
      <c r="J1527" s="7">
        <f t="shared" si="150"/>
        <v>3.125</v>
      </c>
      <c r="K1527" s="7">
        <f t="shared" si="151"/>
        <v>61.158679515561921</v>
      </c>
      <c r="L1527" s="2" t="str">
        <f t="shared" si="146"/>
        <v>Normal</v>
      </c>
      <c r="M1527" s="2" t="str">
        <f t="shared" si="147"/>
        <v>Normal</v>
      </c>
      <c r="N1527" s="2" t="str">
        <f t="shared" si="148"/>
        <v>No</v>
      </c>
    </row>
    <row r="1528" spans="1:14" x14ac:dyDescent="0.25">
      <c r="A1528" s="3">
        <v>45743</v>
      </c>
      <c r="B1528" s="4">
        <v>2025</v>
      </c>
      <c r="C1528" s="5">
        <v>1650</v>
      </c>
      <c r="D1528" s="5">
        <v>1650</v>
      </c>
      <c r="E1528" s="5">
        <v>1610</v>
      </c>
      <c r="F1528" s="5">
        <v>1635</v>
      </c>
      <c r="G1528" s="5">
        <v>1557.45</v>
      </c>
      <c r="H1528" s="6">
        <v>32277300</v>
      </c>
      <c r="I1528" s="22" t="str">
        <f t="shared" si="149"/>
        <v>-</v>
      </c>
      <c r="J1528" s="7">
        <f t="shared" si="150"/>
        <v>-0.90909090909090906</v>
      </c>
      <c r="K1528" s="7">
        <f t="shared" si="151"/>
        <v>-18.49413654131693</v>
      </c>
      <c r="L1528" s="2" t="str">
        <f t="shared" si="146"/>
        <v>Normal</v>
      </c>
      <c r="M1528" s="2" t="str">
        <f t="shared" si="147"/>
        <v>Normal</v>
      </c>
      <c r="N1528" s="2" t="str">
        <f t="shared" si="148"/>
        <v>No</v>
      </c>
    </row>
    <row r="1529" spans="1:14" x14ac:dyDescent="0.25">
      <c r="A1529" s="3">
        <v>45755</v>
      </c>
      <c r="B1529" s="4">
        <v>2025</v>
      </c>
      <c r="C1529" s="5">
        <v>1450</v>
      </c>
      <c r="D1529" s="5">
        <v>1480</v>
      </c>
      <c r="E1529" s="5">
        <v>1390</v>
      </c>
      <c r="F1529" s="5">
        <v>1400</v>
      </c>
      <c r="G1529" s="5">
        <v>1333.6</v>
      </c>
      <c r="H1529" s="6">
        <v>133964900</v>
      </c>
      <c r="I1529" s="22" t="str">
        <f t="shared" si="149"/>
        <v>-</v>
      </c>
      <c r="J1529" s="7">
        <f t="shared" si="150"/>
        <v>-14.37308868501529</v>
      </c>
      <c r="K1529" s="7">
        <f t="shared" si="151"/>
        <v>315.04369944202273</v>
      </c>
      <c r="L1529" s="2" t="str">
        <f t="shared" si="146"/>
        <v>Sharp Price Decrease</v>
      </c>
      <c r="M1529" s="2" t="str">
        <f t="shared" si="147"/>
        <v>Sharp Volume Increase</v>
      </c>
      <c r="N1529" s="2" t="str">
        <f t="shared" si="148"/>
        <v>Yes</v>
      </c>
    </row>
    <row r="1530" spans="1:14" x14ac:dyDescent="0.25">
      <c r="A1530" s="3">
        <v>45756</v>
      </c>
      <c r="B1530" s="4">
        <v>2025</v>
      </c>
      <c r="C1530" s="5">
        <v>1415</v>
      </c>
      <c r="D1530" s="5">
        <v>1580</v>
      </c>
      <c r="E1530" s="5">
        <v>1415</v>
      </c>
      <c r="F1530" s="5">
        <v>1475</v>
      </c>
      <c r="G1530" s="5">
        <v>1405.04</v>
      </c>
      <c r="H1530" s="6">
        <v>160024000</v>
      </c>
      <c r="I1530" s="22" t="str">
        <f t="shared" si="149"/>
        <v>+</v>
      </c>
      <c r="J1530" s="7">
        <f t="shared" si="150"/>
        <v>5.3571428571428568</v>
      </c>
      <c r="K1530" s="7">
        <f t="shared" si="151"/>
        <v>19.452184863348535</v>
      </c>
      <c r="L1530" s="2" t="str">
        <f t="shared" si="146"/>
        <v>Normal</v>
      </c>
      <c r="M1530" s="2" t="str">
        <f t="shared" si="147"/>
        <v>Normal</v>
      </c>
      <c r="N1530" s="2" t="str">
        <f t="shared" si="148"/>
        <v>No</v>
      </c>
    </row>
    <row r="1531" spans="1:14" x14ac:dyDescent="0.25">
      <c r="A1531" s="3">
        <v>45757</v>
      </c>
      <c r="B1531" s="4">
        <v>2025</v>
      </c>
      <c r="C1531" s="5">
        <v>1575</v>
      </c>
      <c r="D1531" s="5">
        <v>1680</v>
      </c>
      <c r="E1531" s="5">
        <v>1575</v>
      </c>
      <c r="F1531" s="5">
        <v>1630</v>
      </c>
      <c r="G1531" s="5">
        <v>1552.69</v>
      </c>
      <c r="H1531" s="6">
        <v>175844900</v>
      </c>
      <c r="I1531" s="22" t="str">
        <f t="shared" si="149"/>
        <v>+</v>
      </c>
      <c r="J1531" s="7">
        <f t="shared" si="150"/>
        <v>10.508474576271185</v>
      </c>
      <c r="K1531" s="7">
        <f t="shared" si="151"/>
        <v>9.8865795130730394</v>
      </c>
      <c r="L1531" s="2" t="str">
        <f t="shared" si="146"/>
        <v>Sharp Price Increase</v>
      </c>
      <c r="M1531" s="2" t="str">
        <f t="shared" si="147"/>
        <v>Normal</v>
      </c>
      <c r="N1531" s="2" t="str">
        <f t="shared" si="148"/>
        <v>No</v>
      </c>
    </row>
    <row r="1532" spans="1:14" x14ac:dyDescent="0.25">
      <c r="A1532" s="3">
        <v>45758</v>
      </c>
      <c r="B1532" s="4">
        <v>2025</v>
      </c>
      <c r="C1532" s="5">
        <v>1660</v>
      </c>
      <c r="D1532" s="5">
        <v>1745</v>
      </c>
      <c r="E1532" s="5">
        <v>1650</v>
      </c>
      <c r="F1532" s="5">
        <v>1690</v>
      </c>
      <c r="G1532" s="5">
        <v>1609.85</v>
      </c>
      <c r="H1532" s="6">
        <v>187903400</v>
      </c>
      <c r="I1532" s="22" t="str">
        <f t="shared" si="149"/>
        <v>+</v>
      </c>
      <c r="J1532" s="7">
        <f t="shared" si="150"/>
        <v>3.6809815950920246</v>
      </c>
      <c r="K1532" s="7">
        <f t="shared" si="151"/>
        <v>6.8574635943379647</v>
      </c>
      <c r="L1532" s="2" t="str">
        <f t="shared" si="146"/>
        <v>Normal</v>
      </c>
      <c r="M1532" s="2" t="str">
        <f t="shared" si="147"/>
        <v>Normal</v>
      </c>
      <c r="N1532" s="2" t="str">
        <f t="shared" si="148"/>
        <v>No</v>
      </c>
    </row>
    <row r="1533" spans="1:14" x14ac:dyDescent="0.25">
      <c r="A1533" s="3">
        <v>45761</v>
      </c>
      <c r="B1533" s="4">
        <v>2025</v>
      </c>
      <c r="C1533" s="5">
        <v>1740</v>
      </c>
      <c r="D1533" s="5">
        <v>1850</v>
      </c>
      <c r="E1533" s="5">
        <v>1740</v>
      </c>
      <c r="F1533" s="5">
        <v>1830</v>
      </c>
      <c r="G1533" s="5">
        <v>1743.2</v>
      </c>
      <c r="H1533" s="6">
        <v>190556900</v>
      </c>
      <c r="I1533" s="22" t="str">
        <f t="shared" si="149"/>
        <v>+</v>
      </c>
      <c r="J1533" s="7">
        <f t="shared" si="150"/>
        <v>8.2840236686390547</v>
      </c>
      <c r="K1533" s="7">
        <f t="shared" si="151"/>
        <v>1.4121617810002374</v>
      </c>
      <c r="L1533" s="2" t="str">
        <f t="shared" si="146"/>
        <v>Sharp Price Increase</v>
      </c>
      <c r="M1533" s="2" t="str">
        <f t="shared" si="147"/>
        <v>Normal</v>
      </c>
      <c r="N1533" s="2" t="str">
        <f t="shared" si="148"/>
        <v>No</v>
      </c>
    </row>
    <row r="1534" spans="1:14" x14ac:dyDescent="0.25">
      <c r="A1534" s="3">
        <v>45762</v>
      </c>
      <c r="B1534" s="4">
        <v>2025</v>
      </c>
      <c r="C1534" s="5">
        <v>1865</v>
      </c>
      <c r="D1534" s="5">
        <v>1960</v>
      </c>
      <c r="E1534" s="5">
        <v>1820</v>
      </c>
      <c r="F1534" s="5">
        <v>1860</v>
      </c>
      <c r="G1534" s="5">
        <v>1771.78</v>
      </c>
      <c r="H1534" s="6">
        <v>300016300</v>
      </c>
      <c r="I1534" s="22" t="str">
        <f t="shared" si="149"/>
        <v>+</v>
      </c>
      <c r="J1534" s="7">
        <f t="shared" si="150"/>
        <v>1.639344262295082</v>
      </c>
      <c r="K1534" s="7">
        <f t="shared" si="151"/>
        <v>57.44184545403499</v>
      </c>
      <c r="L1534" s="2" t="str">
        <f t="shared" si="146"/>
        <v>Normal</v>
      </c>
      <c r="M1534" s="2" t="str">
        <f t="shared" si="147"/>
        <v>Normal</v>
      </c>
      <c r="N1534" s="2" t="str">
        <f t="shared" si="148"/>
        <v>No</v>
      </c>
    </row>
    <row r="1535" spans="1:14" x14ac:dyDescent="0.25">
      <c r="A1535" s="3">
        <v>45763</v>
      </c>
      <c r="B1535" s="4">
        <v>2025</v>
      </c>
      <c r="C1535" s="5">
        <v>1910</v>
      </c>
      <c r="D1535" s="5">
        <v>1940</v>
      </c>
      <c r="E1535" s="5">
        <v>1860</v>
      </c>
      <c r="F1535" s="5">
        <v>1925</v>
      </c>
      <c r="G1535" s="5">
        <v>1833.7</v>
      </c>
      <c r="H1535" s="6">
        <v>255794800</v>
      </c>
      <c r="I1535" s="22" t="str">
        <f t="shared" si="149"/>
        <v>+</v>
      </c>
      <c r="J1535" s="7">
        <f t="shared" si="150"/>
        <v>3.4946236559139781</v>
      </c>
      <c r="K1535" s="7">
        <f t="shared" si="151"/>
        <v>-14.73969914301323</v>
      </c>
      <c r="L1535" s="2" t="str">
        <f t="shared" si="146"/>
        <v>Normal</v>
      </c>
      <c r="M1535" s="2" t="str">
        <f t="shared" si="147"/>
        <v>Normal</v>
      </c>
      <c r="N1535" s="2" t="str">
        <f t="shared" si="148"/>
        <v>No</v>
      </c>
    </row>
    <row r="1536" spans="1:14" x14ac:dyDescent="0.25">
      <c r="A1536" s="3">
        <v>45764</v>
      </c>
      <c r="B1536" s="4">
        <v>2025</v>
      </c>
      <c r="C1536" s="5">
        <v>1950</v>
      </c>
      <c r="D1536" s="5">
        <v>1970</v>
      </c>
      <c r="E1536" s="5">
        <v>1925</v>
      </c>
      <c r="F1536" s="5">
        <v>1945</v>
      </c>
      <c r="G1536" s="5">
        <v>1852.75</v>
      </c>
      <c r="H1536" s="6">
        <v>208479100</v>
      </c>
      <c r="I1536" s="22" t="str">
        <f t="shared" si="149"/>
        <v>+</v>
      </c>
      <c r="J1536" s="7">
        <f t="shared" si="150"/>
        <v>1.0389610389610389</v>
      </c>
      <c r="K1536" s="7">
        <f t="shared" si="151"/>
        <v>-18.497522232664622</v>
      </c>
      <c r="L1536" s="2" t="str">
        <f t="shared" si="146"/>
        <v>Normal</v>
      </c>
      <c r="M1536" s="2" t="str">
        <f t="shared" si="147"/>
        <v>Normal</v>
      </c>
      <c r="N1536" s="2" t="str">
        <f t="shared" si="148"/>
        <v>No</v>
      </c>
    </row>
    <row r="1537" spans="1:14" x14ac:dyDescent="0.25">
      <c r="A1537" s="3">
        <v>45768</v>
      </c>
      <c r="B1537" s="4">
        <v>2025</v>
      </c>
      <c r="C1537" s="5">
        <v>1980</v>
      </c>
      <c r="D1537" s="5">
        <v>2090</v>
      </c>
      <c r="E1537" s="5">
        <v>1965</v>
      </c>
      <c r="F1537" s="5">
        <v>2090</v>
      </c>
      <c r="G1537" s="5">
        <v>1990.87</v>
      </c>
      <c r="H1537" s="6">
        <v>319927200</v>
      </c>
      <c r="I1537" s="22" t="str">
        <f t="shared" si="149"/>
        <v>+</v>
      </c>
      <c r="J1537" s="7">
        <f t="shared" si="150"/>
        <v>7.4550128534704374</v>
      </c>
      <c r="K1537" s="7">
        <f t="shared" si="151"/>
        <v>53.457684727150109</v>
      </c>
      <c r="L1537" s="2" t="str">
        <f t="shared" si="146"/>
        <v>Sharp Price Increase</v>
      </c>
      <c r="M1537" s="2" t="str">
        <f t="shared" si="147"/>
        <v>Normal</v>
      </c>
      <c r="N1537" s="2" t="str">
        <f t="shared" si="148"/>
        <v>No</v>
      </c>
    </row>
    <row r="1538" spans="1:14" x14ac:dyDescent="0.25">
      <c r="A1538" s="3">
        <v>45769</v>
      </c>
      <c r="B1538" s="4">
        <v>2025</v>
      </c>
      <c r="C1538" s="5">
        <v>2130</v>
      </c>
      <c r="D1538" s="5">
        <v>2210</v>
      </c>
      <c r="E1538" s="5">
        <v>2130</v>
      </c>
      <c r="F1538" s="5">
        <v>2190</v>
      </c>
      <c r="G1538" s="5">
        <v>2086.13</v>
      </c>
      <c r="H1538" s="6">
        <v>360805600</v>
      </c>
      <c r="I1538" s="22" t="str">
        <f t="shared" si="149"/>
        <v>+</v>
      </c>
      <c r="J1538" s="7">
        <f t="shared" si="150"/>
        <v>4.7846889952153111</v>
      </c>
      <c r="K1538" s="7">
        <f t="shared" si="151"/>
        <v>12.777406860060664</v>
      </c>
      <c r="L1538" s="2" t="str">
        <f t="shared" si="146"/>
        <v>Normal</v>
      </c>
      <c r="M1538" s="2" t="str">
        <f t="shared" si="147"/>
        <v>Normal</v>
      </c>
      <c r="N1538" s="2" t="str">
        <f t="shared" si="148"/>
        <v>No</v>
      </c>
    </row>
    <row r="1539" spans="1:14" x14ac:dyDescent="0.25">
      <c r="A1539" s="3">
        <v>45770</v>
      </c>
      <c r="B1539" s="4">
        <v>2025</v>
      </c>
      <c r="C1539" s="5">
        <v>2160</v>
      </c>
      <c r="D1539" s="5">
        <v>2160</v>
      </c>
      <c r="E1539" s="5">
        <v>2030</v>
      </c>
      <c r="F1539" s="5">
        <v>2070</v>
      </c>
      <c r="G1539" s="5">
        <v>1971.82</v>
      </c>
      <c r="H1539" s="6">
        <v>297133100</v>
      </c>
      <c r="I1539" s="22" t="str">
        <f t="shared" si="149"/>
        <v>-</v>
      </c>
      <c r="J1539" s="7">
        <f t="shared" si="150"/>
        <v>-5.4794520547945202</v>
      </c>
      <c r="K1539" s="7">
        <f t="shared" si="151"/>
        <v>-17.647314786688455</v>
      </c>
      <c r="L1539" s="2" t="str">
        <f t="shared" ref="L1539:L1602" si="152">IFERROR(IF(OR(J1539="",ISBLANK(J1539)),"Normal",IF(J1539&lt;=$U$6,"Sharp Price Decrease",IF(J1539&gt;=$U$7,"Sharp Price Increase","Normal"))),"Normal")</f>
        <v>Sharp Price Decrease</v>
      </c>
      <c r="M1539" s="2" t="str">
        <f t="shared" ref="M1539:M1602" si="153">IFERROR(IF(OR(K1539="",ISBLANK(K1539)),"Normal",IF(K1539&lt;=$U$8,"Sharp Volume Decrease",IF(K1539&gt;=$U$9,"Sharp Volume Increase","Normal"))),"Normal")</f>
        <v>Normal</v>
      </c>
      <c r="N1539" s="2" t="str">
        <f t="shared" ref="N1539:N1602" si="154">IFERROR(IF(AND(OR(L1539="Sharp Price Increase",L1539="Sharp Price Decrease"),OR(M1539="Sharp Volume Increase",M1539="Sharp Volume Decrease")),"Yes","No"),"No")</f>
        <v>No</v>
      </c>
    </row>
    <row r="1540" spans="1:14" x14ac:dyDescent="0.25">
      <c r="A1540" s="3">
        <v>45771</v>
      </c>
      <c r="B1540" s="4">
        <v>2025</v>
      </c>
      <c r="C1540" s="5">
        <v>2110</v>
      </c>
      <c r="D1540" s="5">
        <v>2150</v>
      </c>
      <c r="E1540" s="5">
        <v>2090</v>
      </c>
      <c r="F1540" s="5">
        <v>2150</v>
      </c>
      <c r="G1540" s="5">
        <v>2048.0300000000002</v>
      </c>
      <c r="H1540" s="6">
        <v>252026600</v>
      </c>
      <c r="I1540" s="22" t="str">
        <f t="shared" ref="I1540:I1603" si="155">IFERROR(IF(OR(F1539="",F1540=""),"",IF(F1540-F1539&lt;0,"-",IF(F1540-F1539&gt;0,"+","0"))),"")</f>
        <v>+</v>
      </c>
      <c r="J1540" s="7">
        <f t="shared" ref="J1540:J1603" si="156">(F1540-F1539)/F1539*100</f>
        <v>3.8647342995169081</v>
      </c>
      <c r="K1540" s="7">
        <f t="shared" ref="K1540:K1603" si="157">(H1540-H1539)/H1539*100</f>
        <v>-15.180570592774753</v>
      </c>
      <c r="L1540" s="2" t="str">
        <f t="shared" si="152"/>
        <v>Normal</v>
      </c>
      <c r="M1540" s="2" t="str">
        <f t="shared" si="153"/>
        <v>Normal</v>
      </c>
      <c r="N1540" s="2" t="str">
        <f t="shared" si="154"/>
        <v>No</v>
      </c>
    </row>
    <row r="1541" spans="1:14" x14ac:dyDescent="0.25">
      <c r="A1541" s="3">
        <v>45772</v>
      </c>
      <c r="B1541" s="4">
        <v>2025</v>
      </c>
      <c r="C1541" s="5">
        <v>2180</v>
      </c>
      <c r="D1541" s="5">
        <v>2190</v>
      </c>
      <c r="E1541" s="5">
        <v>2120</v>
      </c>
      <c r="F1541" s="5">
        <v>2140</v>
      </c>
      <c r="G1541" s="5">
        <v>2038.5</v>
      </c>
      <c r="H1541" s="6">
        <v>151595100</v>
      </c>
      <c r="I1541" s="22" t="str">
        <f t="shared" si="155"/>
        <v>-</v>
      </c>
      <c r="J1541" s="7">
        <f t="shared" si="156"/>
        <v>-0.46511627906976744</v>
      </c>
      <c r="K1541" s="7">
        <f t="shared" si="157"/>
        <v>-39.849563498456114</v>
      </c>
      <c r="L1541" s="2" t="str">
        <f t="shared" si="152"/>
        <v>Normal</v>
      </c>
      <c r="M1541" s="2" t="str">
        <f t="shared" si="153"/>
        <v>Normal</v>
      </c>
      <c r="N1541" s="2" t="str">
        <f t="shared" si="154"/>
        <v>No</v>
      </c>
    </row>
    <row r="1542" spans="1:14" x14ac:dyDescent="0.25">
      <c r="A1542" s="3">
        <v>45775</v>
      </c>
      <c r="B1542" s="4">
        <v>2025</v>
      </c>
      <c r="C1542" s="5">
        <v>2140</v>
      </c>
      <c r="D1542" s="5">
        <v>2160</v>
      </c>
      <c r="E1542" s="5">
        <v>2090</v>
      </c>
      <c r="F1542" s="5">
        <v>2130</v>
      </c>
      <c r="G1542" s="5">
        <v>2028.98</v>
      </c>
      <c r="H1542" s="6">
        <v>145265800</v>
      </c>
      <c r="I1542" s="22" t="str">
        <f t="shared" si="155"/>
        <v>-</v>
      </c>
      <c r="J1542" s="7">
        <f t="shared" si="156"/>
        <v>-0.46728971962616817</v>
      </c>
      <c r="K1542" s="7">
        <f t="shared" si="157"/>
        <v>-4.1751349482931834</v>
      </c>
      <c r="L1542" s="2" t="str">
        <f t="shared" si="152"/>
        <v>Normal</v>
      </c>
      <c r="M1542" s="2" t="str">
        <f t="shared" si="153"/>
        <v>Normal</v>
      </c>
      <c r="N1542" s="2" t="str">
        <f t="shared" si="154"/>
        <v>No</v>
      </c>
    </row>
    <row r="1543" spans="1:14" x14ac:dyDescent="0.25">
      <c r="A1543" s="3">
        <v>45776</v>
      </c>
      <c r="B1543" s="4">
        <v>2025</v>
      </c>
      <c r="C1543" s="5">
        <v>2150</v>
      </c>
      <c r="D1543" s="5">
        <v>2180</v>
      </c>
      <c r="E1543" s="5">
        <v>2140</v>
      </c>
      <c r="F1543" s="5">
        <v>2180</v>
      </c>
      <c r="G1543" s="5">
        <v>2076.6</v>
      </c>
      <c r="H1543" s="6">
        <v>162278000</v>
      </c>
      <c r="I1543" s="22" t="str">
        <f t="shared" si="155"/>
        <v>+</v>
      </c>
      <c r="J1543" s="7">
        <f t="shared" si="156"/>
        <v>2.3474178403755865</v>
      </c>
      <c r="K1543" s="7">
        <f t="shared" si="157"/>
        <v>11.711084095499423</v>
      </c>
      <c r="L1543" s="2" t="str">
        <f t="shared" si="152"/>
        <v>Normal</v>
      </c>
      <c r="M1543" s="2" t="str">
        <f t="shared" si="153"/>
        <v>Normal</v>
      </c>
      <c r="N1543" s="2" t="str">
        <f t="shared" si="154"/>
        <v>No</v>
      </c>
    </row>
    <row r="1544" spans="1:14" x14ac:dyDescent="0.25">
      <c r="A1544" s="3">
        <v>45777</v>
      </c>
      <c r="B1544" s="4">
        <v>2025</v>
      </c>
      <c r="C1544" s="5">
        <v>2190</v>
      </c>
      <c r="D1544" s="5">
        <v>2300</v>
      </c>
      <c r="E1544" s="5">
        <v>2160</v>
      </c>
      <c r="F1544" s="5">
        <v>2170</v>
      </c>
      <c r="G1544" s="5">
        <v>2067.08</v>
      </c>
      <c r="H1544" s="6">
        <v>320158300</v>
      </c>
      <c r="I1544" s="22" t="str">
        <f t="shared" si="155"/>
        <v>-</v>
      </c>
      <c r="J1544" s="7">
        <f t="shared" si="156"/>
        <v>-0.45871559633027525</v>
      </c>
      <c r="K1544" s="7">
        <f t="shared" si="157"/>
        <v>97.290020828454871</v>
      </c>
      <c r="L1544" s="2" t="str">
        <f t="shared" si="152"/>
        <v>Normal</v>
      </c>
      <c r="M1544" s="2" t="str">
        <f t="shared" si="153"/>
        <v>Normal</v>
      </c>
      <c r="N1544" s="2" t="str">
        <f t="shared" si="154"/>
        <v>No</v>
      </c>
    </row>
    <row r="1545" spans="1:14" x14ac:dyDescent="0.25">
      <c r="A1545" s="3">
        <v>45779</v>
      </c>
      <c r="B1545" s="4">
        <v>2025</v>
      </c>
      <c r="C1545" s="5">
        <v>2270</v>
      </c>
      <c r="D1545" s="5">
        <v>2340</v>
      </c>
      <c r="E1545" s="5">
        <v>2240</v>
      </c>
      <c r="F1545" s="5">
        <v>2290</v>
      </c>
      <c r="G1545" s="5">
        <v>2181.39</v>
      </c>
      <c r="H1545" s="6">
        <v>357918800</v>
      </c>
      <c r="I1545" s="22" t="str">
        <f t="shared" si="155"/>
        <v>+</v>
      </c>
      <c r="J1545" s="7">
        <f t="shared" si="156"/>
        <v>5.5299539170506913</v>
      </c>
      <c r="K1545" s="7">
        <f t="shared" si="157"/>
        <v>11.794321746461048</v>
      </c>
      <c r="L1545" s="2" t="str">
        <f t="shared" si="152"/>
        <v>Sharp Price Increase</v>
      </c>
      <c r="M1545" s="2" t="str">
        <f t="shared" si="153"/>
        <v>Normal</v>
      </c>
      <c r="N1545" s="2" t="str">
        <f t="shared" si="154"/>
        <v>No</v>
      </c>
    </row>
    <row r="1546" spans="1:14" x14ac:dyDescent="0.25">
      <c r="A1546" s="3">
        <v>45782</v>
      </c>
      <c r="B1546" s="4">
        <v>2025</v>
      </c>
      <c r="C1546" s="5">
        <v>2280</v>
      </c>
      <c r="D1546" s="5">
        <v>2340</v>
      </c>
      <c r="E1546" s="5">
        <v>2270</v>
      </c>
      <c r="F1546" s="5">
        <v>2320</v>
      </c>
      <c r="G1546" s="5">
        <v>2209.96</v>
      </c>
      <c r="H1546" s="6">
        <v>152617900</v>
      </c>
      <c r="I1546" s="22" t="str">
        <f t="shared" si="155"/>
        <v>+</v>
      </c>
      <c r="J1546" s="7">
        <f t="shared" si="156"/>
        <v>1.3100436681222707</v>
      </c>
      <c r="K1546" s="7">
        <f t="shared" si="157"/>
        <v>-57.359630173100719</v>
      </c>
      <c r="L1546" s="2" t="str">
        <f t="shared" si="152"/>
        <v>Normal</v>
      </c>
      <c r="M1546" s="2" t="str">
        <f t="shared" si="153"/>
        <v>Sharp Volume Decrease</v>
      </c>
      <c r="N1546" s="2" t="str">
        <f t="shared" si="154"/>
        <v>No</v>
      </c>
    </row>
    <row r="1547" spans="1:14" x14ac:dyDescent="0.25">
      <c r="A1547" s="3">
        <v>45783</v>
      </c>
      <c r="B1547" s="4">
        <v>2025</v>
      </c>
      <c r="C1547" s="5">
        <v>2360</v>
      </c>
      <c r="D1547" s="5">
        <v>2540</v>
      </c>
      <c r="E1547" s="5">
        <v>2360</v>
      </c>
      <c r="F1547" s="5">
        <v>2540</v>
      </c>
      <c r="G1547" s="5">
        <v>2419.5300000000002</v>
      </c>
      <c r="H1547" s="6">
        <v>333198600</v>
      </c>
      <c r="I1547" s="22" t="str">
        <f t="shared" si="155"/>
        <v>+</v>
      </c>
      <c r="J1547" s="7">
        <f t="shared" si="156"/>
        <v>9.4827586206896548</v>
      </c>
      <c r="K1547" s="7">
        <f t="shared" si="157"/>
        <v>118.32209721140181</v>
      </c>
      <c r="L1547" s="2" t="str">
        <f t="shared" si="152"/>
        <v>Sharp Price Increase</v>
      </c>
      <c r="M1547" s="2" t="str">
        <f t="shared" si="153"/>
        <v>Normal</v>
      </c>
      <c r="N1547" s="2" t="str">
        <f t="shared" si="154"/>
        <v>No</v>
      </c>
    </row>
    <row r="1548" spans="1:14" x14ac:dyDescent="0.25">
      <c r="A1548" s="3">
        <v>45784</v>
      </c>
      <c r="B1548" s="4">
        <v>2025</v>
      </c>
      <c r="C1548" s="5">
        <v>2560</v>
      </c>
      <c r="D1548" s="5">
        <v>2780</v>
      </c>
      <c r="E1548" s="5">
        <v>2550</v>
      </c>
      <c r="F1548" s="5">
        <v>2750</v>
      </c>
      <c r="G1548" s="5">
        <v>2619.5700000000002</v>
      </c>
      <c r="H1548" s="6">
        <v>617628300</v>
      </c>
      <c r="I1548" s="22" t="str">
        <f t="shared" si="155"/>
        <v>+</v>
      </c>
      <c r="J1548" s="7">
        <f t="shared" si="156"/>
        <v>8.2677165354330722</v>
      </c>
      <c r="K1548" s="7">
        <f t="shared" si="157"/>
        <v>85.363413891895107</v>
      </c>
      <c r="L1548" s="2" t="str">
        <f t="shared" si="152"/>
        <v>Sharp Price Increase</v>
      </c>
      <c r="M1548" s="2" t="str">
        <f t="shared" si="153"/>
        <v>Normal</v>
      </c>
      <c r="N1548" s="2" t="str">
        <f t="shared" si="154"/>
        <v>No</v>
      </c>
    </row>
    <row r="1549" spans="1:14" x14ac:dyDescent="0.25">
      <c r="A1549" s="3">
        <v>45785</v>
      </c>
      <c r="B1549" s="4">
        <v>2025</v>
      </c>
      <c r="C1549" s="5">
        <v>2780</v>
      </c>
      <c r="D1549" s="5">
        <v>2860</v>
      </c>
      <c r="E1549" s="5">
        <v>2600</v>
      </c>
      <c r="F1549" s="5">
        <v>2610</v>
      </c>
      <c r="G1549" s="5">
        <v>2486.21</v>
      </c>
      <c r="H1549" s="6">
        <v>522454300</v>
      </c>
      <c r="I1549" s="22" t="str">
        <f t="shared" si="155"/>
        <v>-</v>
      </c>
      <c r="J1549" s="7">
        <f t="shared" si="156"/>
        <v>-5.0909090909090908</v>
      </c>
      <c r="K1549" s="7">
        <f t="shared" si="157"/>
        <v>-15.409591820841111</v>
      </c>
      <c r="L1549" s="2" t="str">
        <f t="shared" si="152"/>
        <v>Sharp Price Decrease</v>
      </c>
      <c r="M1549" s="2" t="str">
        <f t="shared" si="153"/>
        <v>Normal</v>
      </c>
      <c r="N1549" s="2" t="str">
        <f t="shared" si="154"/>
        <v>No</v>
      </c>
    </row>
    <row r="1550" spans="1:14" x14ac:dyDescent="0.25">
      <c r="A1550" s="3">
        <v>45786</v>
      </c>
      <c r="B1550" s="4">
        <v>2025</v>
      </c>
      <c r="C1550" s="5">
        <v>2600</v>
      </c>
      <c r="D1550" s="5">
        <v>2690</v>
      </c>
      <c r="E1550" s="5">
        <v>2590</v>
      </c>
      <c r="F1550" s="5">
        <v>2680</v>
      </c>
      <c r="G1550" s="5">
        <v>2552.89</v>
      </c>
      <c r="H1550" s="6">
        <v>218194600</v>
      </c>
      <c r="I1550" s="22" t="str">
        <f t="shared" si="155"/>
        <v>+</v>
      </c>
      <c r="J1550" s="7">
        <f t="shared" si="156"/>
        <v>2.6819923371647509</v>
      </c>
      <c r="K1550" s="7">
        <f t="shared" si="157"/>
        <v>-58.23661514509498</v>
      </c>
      <c r="L1550" s="2" t="str">
        <f t="shared" si="152"/>
        <v>Normal</v>
      </c>
      <c r="M1550" s="2" t="str">
        <f t="shared" si="153"/>
        <v>Sharp Volume Decrease</v>
      </c>
      <c r="N1550" s="2" t="str">
        <f t="shared" si="154"/>
        <v>No</v>
      </c>
    </row>
    <row r="1551" spans="1:14" x14ac:dyDescent="0.25">
      <c r="A1551" s="3">
        <v>45791</v>
      </c>
      <c r="B1551" s="4">
        <v>2025</v>
      </c>
      <c r="C1551" s="5">
        <v>2620</v>
      </c>
      <c r="D1551" s="5">
        <v>2630</v>
      </c>
      <c r="E1551" s="5">
        <v>2460</v>
      </c>
      <c r="F1551" s="5">
        <v>2550</v>
      </c>
      <c r="G1551" s="5">
        <v>2429.06</v>
      </c>
      <c r="H1551" s="6">
        <v>356244400</v>
      </c>
      <c r="I1551" s="22" t="str">
        <f t="shared" si="155"/>
        <v>-</v>
      </c>
      <c r="J1551" s="7">
        <f t="shared" si="156"/>
        <v>-4.8507462686567164</v>
      </c>
      <c r="K1551" s="7">
        <f t="shared" si="157"/>
        <v>63.26911848414214</v>
      </c>
      <c r="L1551" s="2" t="str">
        <f t="shared" si="152"/>
        <v>Sharp Price Decrease</v>
      </c>
      <c r="M1551" s="2" t="str">
        <f t="shared" si="153"/>
        <v>Normal</v>
      </c>
      <c r="N1551" s="2" t="str">
        <f t="shared" si="154"/>
        <v>No</v>
      </c>
    </row>
    <row r="1552" spans="1:14" x14ac:dyDescent="0.25">
      <c r="A1552" s="3">
        <v>45792</v>
      </c>
      <c r="B1552" s="4">
        <v>2025</v>
      </c>
      <c r="C1552" s="5">
        <v>2530</v>
      </c>
      <c r="D1552" s="5">
        <v>2660</v>
      </c>
      <c r="E1552" s="5">
        <v>2500</v>
      </c>
      <c r="F1552" s="5">
        <v>2550</v>
      </c>
      <c r="G1552" s="5">
        <v>2429.06</v>
      </c>
      <c r="H1552" s="6">
        <v>332822200</v>
      </c>
      <c r="I1552" s="22" t="str">
        <f t="shared" si="155"/>
        <v>0</v>
      </c>
      <c r="J1552" s="7">
        <f t="shared" si="156"/>
        <v>0</v>
      </c>
      <c r="K1552" s="7">
        <f t="shared" si="157"/>
        <v>-6.5747559821291226</v>
      </c>
      <c r="L1552" s="2" t="str">
        <f t="shared" si="152"/>
        <v>Normal</v>
      </c>
      <c r="M1552" s="2" t="str">
        <f t="shared" si="153"/>
        <v>Normal</v>
      </c>
      <c r="N1552" s="2" t="str">
        <f t="shared" si="154"/>
        <v>No</v>
      </c>
    </row>
    <row r="1553" spans="1:14" x14ac:dyDescent="0.25">
      <c r="A1553" s="3">
        <v>45793</v>
      </c>
      <c r="B1553" s="4">
        <v>2025</v>
      </c>
      <c r="C1553" s="5">
        <v>2660</v>
      </c>
      <c r="D1553" s="5">
        <v>2670</v>
      </c>
      <c r="E1553" s="5">
        <v>2600</v>
      </c>
      <c r="F1553" s="5">
        <v>2640</v>
      </c>
      <c r="G1553" s="5">
        <v>2514.79</v>
      </c>
      <c r="H1553" s="6">
        <v>174863200</v>
      </c>
      <c r="I1553" s="22" t="str">
        <f t="shared" si="155"/>
        <v>+</v>
      </c>
      <c r="J1553" s="7">
        <f t="shared" si="156"/>
        <v>3.5294117647058822</v>
      </c>
      <c r="K1553" s="7">
        <f t="shared" si="157"/>
        <v>-47.460475893735456</v>
      </c>
      <c r="L1553" s="2" t="str">
        <f t="shared" si="152"/>
        <v>Normal</v>
      </c>
      <c r="M1553" s="2" t="str">
        <f t="shared" si="153"/>
        <v>Normal</v>
      </c>
      <c r="N1553" s="2" t="str">
        <f t="shared" si="154"/>
        <v>No</v>
      </c>
    </row>
    <row r="1554" spans="1:14" x14ac:dyDescent="0.25">
      <c r="A1554" s="3">
        <v>45796</v>
      </c>
      <c r="B1554" s="4">
        <v>2025</v>
      </c>
      <c r="C1554" s="5">
        <v>2670</v>
      </c>
      <c r="D1554" s="5">
        <v>2730</v>
      </c>
      <c r="E1554" s="5">
        <v>2640</v>
      </c>
      <c r="F1554" s="5">
        <v>2720</v>
      </c>
      <c r="G1554" s="5">
        <v>2590.9899999999998</v>
      </c>
      <c r="H1554" s="6">
        <v>210292700</v>
      </c>
      <c r="I1554" s="22" t="str">
        <f t="shared" si="155"/>
        <v>+</v>
      </c>
      <c r="J1554" s="7">
        <f t="shared" si="156"/>
        <v>3.0303030303030303</v>
      </c>
      <c r="K1554" s="7">
        <f t="shared" si="157"/>
        <v>20.261267093362125</v>
      </c>
      <c r="L1554" s="2" t="str">
        <f t="shared" si="152"/>
        <v>Normal</v>
      </c>
      <c r="M1554" s="2" t="str">
        <f t="shared" si="153"/>
        <v>Normal</v>
      </c>
      <c r="N1554" s="2" t="str">
        <f t="shared" si="154"/>
        <v>No</v>
      </c>
    </row>
    <row r="1555" spans="1:14" x14ac:dyDescent="0.25">
      <c r="A1555" s="3">
        <v>45797</v>
      </c>
      <c r="B1555" s="4">
        <v>2025</v>
      </c>
      <c r="C1555" s="5">
        <v>2720</v>
      </c>
      <c r="D1555" s="5">
        <v>2740</v>
      </c>
      <c r="E1555" s="5">
        <v>2660</v>
      </c>
      <c r="F1555" s="5">
        <v>2730</v>
      </c>
      <c r="G1555" s="5">
        <v>2600.52</v>
      </c>
      <c r="H1555" s="6">
        <v>163229300</v>
      </c>
      <c r="I1555" s="22" t="str">
        <f t="shared" si="155"/>
        <v>+</v>
      </c>
      <c r="J1555" s="7">
        <f t="shared" si="156"/>
        <v>0.36764705882352938</v>
      </c>
      <c r="K1555" s="7">
        <f t="shared" si="157"/>
        <v>-22.379949470428599</v>
      </c>
      <c r="L1555" s="2" t="str">
        <f t="shared" si="152"/>
        <v>Normal</v>
      </c>
      <c r="M1555" s="2" t="str">
        <f t="shared" si="153"/>
        <v>Normal</v>
      </c>
      <c r="N1555" s="2" t="str">
        <f t="shared" si="154"/>
        <v>No</v>
      </c>
    </row>
    <row r="1556" spans="1:14" x14ac:dyDescent="0.25">
      <c r="A1556" s="3">
        <v>45798</v>
      </c>
      <c r="B1556" s="4">
        <v>2025</v>
      </c>
      <c r="C1556" s="5">
        <v>2780</v>
      </c>
      <c r="D1556" s="5">
        <v>2920</v>
      </c>
      <c r="E1556" s="5">
        <v>2770</v>
      </c>
      <c r="F1556" s="5">
        <v>2910</v>
      </c>
      <c r="G1556" s="5">
        <v>2771.98</v>
      </c>
      <c r="H1556" s="6">
        <v>329772300</v>
      </c>
      <c r="I1556" s="22" t="str">
        <f t="shared" si="155"/>
        <v>+</v>
      </c>
      <c r="J1556" s="7">
        <f t="shared" si="156"/>
        <v>6.593406593406594</v>
      </c>
      <c r="K1556" s="7">
        <f t="shared" si="157"/>
        <v>102.03008896074417</v>
      </c>
      <c r="L1556" s="2" t="str">
        <f t="shared" si="152"/>
        <v>Sharp Price Increase</v>
      </c>
      <c r="M1556" s="2" t="str">
        <f t="shared" si="153"/>
        <v>Normal</v>
      </c>
      <c r="N1556" s="2" t="str">
        <f t="shared" si="154"/>
        <v>No</v>
      </c>
    </row>
    <row r="1557" spans="1:14" x14ac:dyDescent="0.25">
      <c r="A1557" s="3">
        <v>45799</v>
      </c>
      <c r="B1557" s="4">
        <v>2025</v>
      </c>
      <c r="C1557" s="5">
        <v>2990</v>
      </c>
      <c r="D1557" s="5">
        <v>3080</v>
      </c>
      <c r="E1557" s="5">
        <v>2930</v>
      </c>
      <c r="F1557" s="5">
        <v>2960</v>
      </c>
      <c r="G1557" s="5">
        <v>2819.61</v>
      </c>
      <c r="H1557" s="6">
        <v>367750100</v>
      </c>
      <c r="I1557" s="22" t="str">
        <f t="shared" si="155"/>
        <v>+</v>
      </c>
      <c r="J1557" s="7">
        <f t="shared" si="156"/>
        <v>1.7182130584192441</v>
      </c>
      <c r="K1557" s="7">
        <f t="shared" si="157"/>
        <v>11.516370538095529</v>
      </c>
      <c r="L1557" s="2" t="str">
        <f t="shared" si="152"/>
        <v>Normal</v>
      </c>
      <c r="M1557" s="2" t="str">
        <f t="shared" si="153"/>
        <v>Normal</v>
      </c>
      <c r="N1557" s="2" t="str">
        <f t="shared" si="154"/>
        <v>No</v>
      </c>
    </row>
    <row r="1558" spans="1:14" x14ac:dyDescent="0.25">
      <c r="A1558" s="3">
        <v>45800</v>
      </c>
      <c r="B1558" s="4">
        <v>2025</v>
      </c>
      <c r="C1558" s="5">
        <v>2980</v>
      </c>
      <c r="D1558" s="5">
        <v>3130</v>
      </c>
      <c r="E1558" s="5">
        <v>2980</v>
      </c>
      <c r="F1558" s="5">
        <v>3130</v>
      </c>
      <c r="G1558" s="5">
        <v>2981.55</v>
      </c>
      <c r="H1558" s="6">
        <v>209432100</v>
      </c>
      <c r="I1558" s="22" t="str">
        <f t="shared" si="155"/>
        <v>+</v>
      </c>
      <c r="J1558" s="7">
        <f t="shared" si="156"/>
        <v>5.7432432432432439</v>
      </c>
      <c r="K1558" s="7">
        <f t="shared" si="157"/>
        <v>-43.050430169835444</v>
      </c>
      <c r="L1558" s="2" t="str">
        <f t="shared" si="152"/>
        <v>Sharp Price Increase</v>
      </c>
      <c r="M1558" s="2" t="str">
        <f t="shared" si="153"/>
        <v>Normal</v>
      </c>
      <c r="N1558" s="2" t="str">
        <f t="shared" si="154"/>
        <v>No</v>
      </c>
    </row>
    <row r="1559" spans="1:14" x14ac:dyDescent="0.25">
      <c r="A1559" s="3">
        <v>45803</v>
      </c>
      <c r="B1559" s="4">
        <v>2025</v>
      </c>
      <c r="C1559" s="5">
        <v>3170</v>
      </c>
      <c r="D1559" s="5">
        <v>3280</v>
      </c>
      <c r="E1559" s="5">
        <v>3030</v>
      </c>
      <c r="F1559" s="5">
        <v>3110</v>
      </c>
      <c r="G1559" s="5">
        <v>2962.5</v>
      </c>
      <c r="H1559" s="6">
        <v>305568000</v>
      </c>
      <c r="I1559" s="22" t="str">
        <f t="shared" si="155"/>
        <v>-</v>
      </c>
      <c r="J1559" s="7">
        <f t="shared" si="156"/>
        <v>-0.63897763578274758</v>
      </c>
      <c r="K1559" s="7">
        <f t="shared" si="157"/>
        <v>45.90313519274266</v>
      </c>
      <c r="L1559" s="2" t="str">
        <f t="shared" si="152"/>
        <v>Normal</v>
      </c>
      <c r="M1559" s="2" t="str">
        <f t="shared" si="153"/>
        <v>Normal</v>
      </c>
      <c r="N1559" s="2" t="str">
        <f t="shared" si="154"/>
        <v>No</v>
      </c>
    </row>
    <row r="1560" spans="1:14" x14ac:dyDescent="0.25">
      <c r="A1560" s="3">
        <v>45804</v>
      </c>
      <c r="B1560" s="4">
        <v>2025</v>
      </c>
      <c r="C1560" s="5">
        <v>3110</v>
      </c>
      <c r="D1560" s="5">
        <v>3120</v>
      </c>
      <c r="E1560" s="5">
        <v>3010</v>
      </c>
      <c r="F1560" s="5">
        <v>3030</v>
      </c>
      <c r="G1560" s="5">
        <v>2886.29</v>
      </c>
      <c r="H1560" s="6">
        <v>193424600</v>
      </c>
      <c r="I1560" s="22" t="str">
        <f t="shared" si="155"/>
        <v>-</v>
      </c>
      <c r="J1560" s="7">
        <f t="shared" si="156"/>
        <v>-2.572347266881029</v>
      </c>
      <c r="K1560" s="7">
        <f t="shared" si="157"/>
        <v>-36.699981673473665</v>
      </c>
      <c r="L1560" s="2" t="str">
        <f t="shared" si="152"/>
        <v>Normal</v>
      </c>
      <c r="M1560" s="2" t="str">
        <f t="shared" si="153"/>
        <v>Normal</v>
      </c>
      <c r="N1560" s="2" t="str">
        <f t="shared" si="154"/>
        <v>No</v>
      </c>
    </row>
    <row r="1561" spans="1:14" x14ac:dyDescent="0.25">
      <c r="A1561" s="3">
        <v>45805</v>
      </c>
      <c r="B1561" s="4">
        <v>2025</v>
      </c>
      <c r="C1561" s="5">
        <v>3030</v>
      </c>
      <c r="D1561" s="5">
        <v>3220</v>
      </c>
      <c r="E1561" s="5">
        <v>3030</v>
      </c>
      <c r="F1561" s="5">
        <v>3110</v>
      </c>
      <c r="G1561" s="5">
        <v>2962.5</v>
      </c>
      <c r="H1561" s="6">
        <v>285387300</v>
      </c>
      <c r="I1561" s="22" t="str">
        <f t="shared" si="155"/>
        <v>+</v>
      </c>
      <c r="J1561" s="7">
        <f t="shared" si="156"/>
        <v>2.6402640264026402</v>
      </c>
      <c r="K1561" s="7">
        <f t="shared" si="157"/>
        <v>47.544469524558927</v>
      </c>
      <c r="L1561" s="2" t="str">
        <f t="shared" si="152"/>
        <v>Normal</v>
      </c>
      <c r="M1561" s="2" t="str">
        <f t="shared" si="153"/>
        <v>Normal</v>
      </c>
      <c r="N1561" s="2" t="str">
        <f t="shared" si="154"/>
        <v>No</v>
      </c>
    </row>
    <row r="1562" spans="1:14" x14ac:dyDescent="0.25">
      <c r="A1562" s="3">
        <v>45810</v>
      </c>
      <c r="B1562" s="4">
        <v>2025</v>
      </c>
      <c r="C1562" s="5">
        <v>3170</v>
      </c>
      <c r="D1562" s="5">
        <v>3330</v>
      </c>
      <c r="E1562" s="5">
        <v>3160</v>
      </c>
      <c r="F1562" s="5">
        <v>3320</v>
      </c>
      <c r="G1562" s="5">
        <v>3162.54</v>
      </c>
      <c r="H1562" s="6">
        <v>324002700</v>
      </c>
      <c r="I1562" s="22" t="str">
        <f t="shared" si="155"/>
        <v>+</v>
      </c>
      <c r="J1562" s="7">
        <f t="shared" si="156"/>
        <v>6.7524115755627019</v>
      </c>
      <c r="K1562" s="7">
        <f t="shared" si="157"/>
        <v>13.530875410363391</v>
      </c>
      <c r="L1562" s="2" t="str">
        <f t="shared" si="152"/>
        <v>Sharp Price Increase</v>
      </c>
      <c r="M1562" s="2" t="str">
        <f t="shared" si="153"/>
        <v>Normal</v>
      </c>
      <c r="N1562" s="2" t="str">
        <f t="shared" si="154"/>
        <v>No</v>
      </c>
    </row>
    <row r="1563" spans="1:14" x14ac:dyDescent="0.25">
      <c r="A1563" s="3">
        <v>45811</v>
      </c>
      <c r="B1563" s="4">
        <v>2025</v>
      </c>
      <c r="C1563" s="5">
        <v>3350</v>
      </c>
      <c r="D1563" s="5">
        <v>3390</v>
      </c>
      <c r="E1563" s="5">
        <v>3260</v>
      </c>
      <c r="F1563" s="5">
        <v>3360</v>
      </c>
      <c r="G1563" s="5">
        <v>3200.64</v>
      </c>
      <c r="H1563" s="6">
        <v>278458600</v>
      </c>
      <c r="I1563" s="22" t="str">
        <f t="shared" si="155"/>
        <v>+</v>
      </c>
      <c r="J1563" s="7">
        <f t="shared" si="156"/>
        <v>1.2048192771084338</v>
      </c>
      <c r="K1563" s="7">
        <f t="shared" si="157"/>
        <v>-14.056703848455584</v>
      </c>
      <c r="L1563" s="2" t="str">
        <f t="shared" si="152"/>
        <v>Normal</v>
      </c>
      <c r="M1563" s="2" t="str">
        <f t="shared" si="153"/>
        <v>Normal</v>
      </c>
      <c r="N1563" s="2" t="str">
        <f t="shared" si="154"/>
        <v>No</v>
      </c>
    </row>
    <row r="1564" spans="1:14" x14ac:dyDescent="0.25">
      <c r="A1564" s="3">
        <v>45812</v>
      </c>
      <c r="B1564" s="4">
        <v>2025</v>
      </c>
      <c r="C1564" s="5">
        <v>3400</v>
      </c>
      <c r="D1564" s="5">
        <v>3660</v>
      </c>
      <c r="E1564" s="5">
        <v>3390</v>
      </c>
      <c r="F1564" s="5">
        <v>3550</v>
      </c>
      <c r="G1564" s="5">
        <v>3381.63</v>
      </c>
      <c r="H1564" s="6">
        <v>422549000</v>
      </c>
      <c r="I1564" s="22" t="str">
        <f t="shared" si="155"/>
        <v>+</v>
      </c>
      <c r="J1564" s="7">
        <f t="shared" si="156"/>
        <v>5.6547619047619051</v>
      </c>
      <c r="K1564" s="7">
        <f t="shared" si="157"/>
        <v>51.745717316685493</v>
      </c>
      <c r="L1564" s="2" t="str">
        <f t="shared" si="152"/>
        <v>Sharp Price Increase</v>
      </c>
      <c r="M1564" s="2" t="str">
        <f t="shared" si="153"/>
        <v>Normal</v>
      </c>
      <c r="N1564" s="2" t="str">
        <f t="shared" si="154"/>
        <v>No</v>
      </c>
    </row>
    <row r="1565" spans="1:14" x14ac:dyDescent="0.25">
      <c r="A1565" s="3">
        <v>45813</v>
      </c>
      <c r="B1565" s="4">
        <v>2025</v>
      </c>
      <c r="C1565" s="5">
        <v>3590</v>
      </c>
      <c r="D1565" s="5">
        <v>3620</v>
      </c>
      <c r="E1565" s="5">
        <v>3430</v>
      </c>
      <c r="F1565" s="5">
        <v>3450</v>
      </c>
      <c r="G1565" s="5">
        <v>3286.37</v>
      </c>
      <c r="H1565" s="6">
        <v>193549500</v>
      </c>
      <c r="I1565" s="22" t="str">
        <f t="shared" si="155"/>
        <v>-</v>
      </c>
      <c r="J1565" s="7">
        <f t="shared" si="156"/>
        <v>-2.8169014084507045</v>
      </c>
      <c r="K1565" s="7">
        <f t="shared" si="157"/>
        <v>-54.194779777019939</v>
      </c>
      <c r="L1565" s="2" t="str">
        <f t="shared" si="152"/>
        <v>Normal</v>
      </c>
      <c r="M1565" s="2" t="str">
        <f t="shared" si="153"/>
        <v>Normal</v>
      </c>
      <c r="N1565" s="2" t="str">
        <f t="shared" si="154"/>
        <v>No</v>
      </c>
    </row>
    <row r="1566" spans="1:14" x14ac:dyDescent="0.25">
      <c r="A1566" s="3">
        <v>45818</v>
      </c>
      <c r="B1566" s="4">
        <v>2025</v>
      </c>
      <c r="C1566" s="5">
        <v>3350</v>
      </c>
      <c r="D1566" s="5">
        <v>3420</v>
      </c>
      <c r="E1566" s="5">
        <v>3230</v>
      </c>
      <c r="F1566" s="5">
        <v>3260</v>
      </c>
      <c r="G1566" s="5">
        <v>3105.38</v>
      </c>
      <c r="H1566" s="6">
        <v>437510400</v>
      </c>
      <c r="I1566" s="22" t="str">
        <f t="shared" si="155"/>
        <v>-</v>
      </c>
      <c r="J1566" s="7">
        <f t="shared" si="156"/>
        <v>-5.5072463768115938</v>
      </c>
      <c r="K1566" s="7">
        <f t="shared" si="157"/>
        <v>126.04574023699364</v>
      </c>
      <c r="L1566" s="2" t="str">
        <f t="shared" si="152"/>
        <v>Sharp Price Decrease</v>
      </c>
      <c r="M1566" s="2" t="str">
        <f t="shared" si="153"/>
        <v>Normal</v>
      </c>
      <c r="N1566" s="2" t="str">
        <f t="shared" si="154"/>
        <v>No</v>
      </c>
    </row>
    <row r="1567" spans="1:14" x14ac:dyDescent="0.25">
      <c r="A1567" s="3">
        <v>45819</v>
      </c>
      <c r="B1567" s="4">
        <v>2025</v>
      </c>
      <c r="C1567" s="5">
        <v>3260</v>
      </c>
      <c r="D1567" s="5">
        <v>3370</v>
      </c>
      <c r="E1567" s="5">
        <v>3210</v>
      </c>
      <c r="F1567" s="5">
        <v>3280</v>
      </c>
      <c r="G1567" s="5">
        <v>3124.43</v>
      </c>
      <c r="H1567" s="6">
        <v>237081700</v>
      </c>
      <c r="I1567" s="22" t="str">
        <f t="shared" si="155"/>
        <v>+</v>
      </c>
      <c r="J1567" s="7">
        <f t="shared" si="156"/>
        <v>0.61349693251533743</v>
      </c>
      <c r="K1567" s="7">
        <f t="shared" si="157"/>
        <v>-45.811185288395428</v>
      </c>
      <c r="L1567" s="2" t="str">
        <f t="shared" si="152"/>
        <v>Normal</v>
      </c>
      <c r="M1567" s="2" t="str">
        <f t="shared" si="153"/>
        <v>Normal</v>
      </c>
      <c r="N1567" s="2" t="str">
        <f t="shared" si="154"/>
        <v>No</v>
      </c>
    </row>
    <row r="1568" spans="1:14" x14ac:dyDescent="0.25">
      <c r="A1568" s="3">
        <v>45820</v>
      </c>
      <c r="B1568" s="4">
        <v>2025</v>
      </c>
      <c r="C1568" s="5">
        <v>3320</v>
      </c>
      <c r="D1568" s="5">
        <v>3330</v>
      </c>
      <c r="E1568" s="5">
        <v>3130</v>
      </c>
      <c r="F1568" s="5">
        <v>3170</v>
      </c>
      <c r="G1568" s="5">
        <v>3019.65</v>
      </c>
      <c r="H1568" s="6">
        <v>249105300</v>
      </c>
      <c r="I1568" s="22" t="str">
        <f t="shared" si="155"/>
        <v>-</v>
      </c>
      <c r="J1568" s="7">
        <f t="shared" si="156"/>
        <v>-3.3536585365853662</v>
      </c>
      <c r="K1568" s="7">
        <f t="shared" si="157"/>
        <v>5.0715006683350081</v>
      </c>
      <c r="L1568" s="2" t="str">
        <f t="shared" si="152"/>
        <v>Normal</v>
      </c>
      <c r="M1568" s="2" t="str">
        <f t="shared" si="153"/>
        <v>Normal</v>
      </c>
      <c r="N1568" s="2" t="str">
        <f t="shared" si="154"/>
        <v>No</v>
      </c>
    </row>
    <row r="1569" spans="1:14" x14ac:dyDescent="0.25">
      <c r="A1569" s="3">
        <v>45821</v>
      </c>
      <c r="B1569" s="4">
        <v>2025</v>
      </c>
      <c r="C1569" s="5">
        <v>3270</v>
      </c>
      <c r="D1569" s="5">
        <v>3340</v>
      </c>
      <c r="E1569" s="5">
        <v>3240</v>
      </c>
      <c r="F1569" s="5">
        <v>3300</v>
      </c>
      <c r="G1569" s="5">
        <v>3143.48</v>
      </c>
      <c r="H1569" s="6">
        <v>224736200</v>
      </c>
      <c r="I1569" s="22" t="str">
        <f t="shared" si="155"/>
        <v>+</v>
      </c>
      <c r="J1569" s="7">
        <f t="shared" si="156"/>
        <v>4.1009463722397479</v>
      </c>
      <c r="K1569" s="7">
        <f t="shared" si="157"/>
        <v>-9.7826501483509194</v>
      </c>
      <c r="L1569" s="2" t="str">
        <f t="shared" si="152"/>
        <v>Normal</v>
      </c>
      <c r="M1569" s="2" t="str">
        <f t="shared" si="153"/>
        <v>Normal</v>
      </c>
      <c r="N1569" s="2" t="str">
        <f t="shared" si="154"/>
        <v>No</v>
      </c>
    </row>
    <row r="1570" spans="1:14" x14ac:dyDescent="0.25">
      <c r="A1570" s="3">
        <v>45824</v>
      </c>
      <c r="B1570" s="4">
        <v>2025</v>
      </c>
      <c r="C1570" s="5">
        <v>3330</v>
      </c>
      <c r="D1570" s="5">
        <v>3370</v>
      </c>
      <c r="E1570" s="5">
        <v>3230</v>
      </c>
      <c r="F1570" s="5">
        <v>3280</v>
      </c>
      <c r="G1570" s="5">
        <v>3124.43</v>
      </c>
      <c r="H1570" s="6">
        <v>177098300</v>
      </c>
      <c r="I1570" s="22" t="str">
        <f t="shared" si="155"/>
        <v>-</v>
      </c>
      <c r="J1570" s="7">
        <f t="shared" si="156"/>
        <v>-0.60606060606060608</v>
      </c>
      <c r="K1570" s="7">
        <f t="shared" si="157"/>
        <v>-21.197252601049584</v>
      </c>
      <c r="L1570" s="2" t="str">
        <f t="shared" si="152"/>
        <v>Normal</v>
      </c>
      <c r="M1570" s="2" t="str">
        <f t="shared" si="153"/>
        <v>Normal</v>
      </c>
      <c r="N1570" s="2" t="str">
        <f t="shared" si="154"/>
        <v>No</v>
      </c>
    </row>
    <row r="1571" spans="1:14" x14ac:dyDescent="0.25">
      <c r="A1571" s="3">
        <v>45825</v>
      </c>
      <c r="B1571" s="4">
        <v>2025</v>
      </c>
      <c r="C1571" s="5">
        <v>3280</v>
      </c>
      <c r="D1571" s="5">
        <v>3490</v>
      </c>
      <c r="E1571" s="5">
        <v>3240</v>
      </c>
      <c r="F1571" s="5">
        <v>3470</v>
      </c>
      <c r="G1571" s="5">
        <v>3305.42</v>
      </c>
      <c r="H1571" s="6">
        <v>289461100</v>
      </c>
      <c r="I1571" s="22" t="str">
        <f t="shared" si="155"/>
        <v>+</v>
      </c>
      <c r="J1571" s="7">
        <f t="shared" si="156"/>
        <v>5.7926829268292686</v>
      </c>
      <c r="K1571" s="7">
        <f t="shared" si="157"/>
        <v>63.446571762687732</v>
      </c>
      <c r="L1571" s="2" t="str">
        <f t="shared" si="152"/>
        <v>Sharp Price Increase</v>
      </c>
      <c r="M1571" s="2" t="str">
        <f t="shared" si="153"/>
        <v>Normal</v>
      </c>
      <c r="N1571" s="2" t="str">
        <f t="shared" si="154"/>
        <v>No</v>
      </c>
    </row>
    <row r="1572" spans="1:14" x14ac:dyDescent="0.25">
      <c r="A1572" s="3">
        <v>45826</v>
      </c>
      <c r="B1572" s="4">
        <v>2025</v>
      </c>
      <c r="C1572" s="5">
        <v>3500</v>
      </c>
      <c r="D1572" s="5">
        <v>3590</v>
      </c>
      <c r="E1572" s="5">
        <v>3470</v>
      </c>
      <c r="F1572" s="5">
        <v>3550</v>
      </c>
      <c r="G1572" s="5">
        <v>3381.63</v>
      </c>
      <c r="H1572" s="6">
        <v>242733200</v>
      </c>
      <c r="I1572" s="22" t="str">
        <f t="shared" si="155"/>
        <v>+</v>
      </c>
      <c r="J1572" s="7">
        <f t="shared" si="156"/>
        <v>2.3054755043227666</v>
      </c>
      <c r="K1572" s="7">
        <f t="shared" si="157"/>
        <v>-16.143067237704827</v>
      </c>
      <c r="L1572" s="2" t="str">
        <f t="shared" si="152"/>
        <v>Normal</v>
      </c>
      <c r="M1572" s="2" t="str">
        <f t="shared" si="153"/>
        <v>Normal</v>
      </c>
      <c r="N1572" s="2" t="str">
        <f t="shared" si="154"/>
        <v>No</v>
      </c>
    </row>
    <row r="1573" spans="1:14" x14ac:dyDescent="0.25">
      <c r="A1573" s="3">
        <v>45827</v>
      </c>
      <c r="B1573" s="4">
        <v>2025</v>
      </c>
      <c r="C1573" s="5">
        <v>3560</v>
      </c>
      <c r="D1573" s="5">
        <v>3580</v>
      </c>
      <c r="E1573" s="5">
        <v>3300</v>
      </c>
      <c r="F1573" s="5">
        <v>3330</v>
      </c>
      <c r="G1573" s="5">
        <v>3172.06</v>
      </c>
      <c r="H1573" s="6">
        <v>230240300</v>
      </c>
      <c r="I1573" s="22" t="str">
        <f t="shared" si="155"/>
        <v>-</v>
      </c>
      <c r="J1573" s="7">
        <f t="shared" si="156"/>
        <v>-6.197183098591549</v>
      </c>
      <c r="K1573" s="7">
        <f t="shared" si="157"/>
        <v>-5.1467619592210712</v>
      </c>
      <c r="L1573" s="2" t="str">
        <f t="shared" si="152"/>
        <v>Sharp Price Decrease</v>
      </c>
      <c r="M1573" s="2" t="str">
        <f t="shared" si="153"/>
        <v>Normal</v>
      </c>
      <c r="N1573" s="2" t="str">
        <f t="shared" si="154"/>
        <v>No</v>
      </c>
    </row>
    <row r="1574" spans="1:14" x14ac:dyDescent="0.25">
      <c r="A1574" s="3">
        <v>45828</v>
      </c>
      <c r="B1574" s="4">
        <v>2025</v>
      </c>
      <c r="C1574" s="5">
        <v>3330</v>
      </c>
      <c r="D1574" s="5">
        <v>3340</v>
      </c>
      <c r="E1574" s="5">
        <v>3160</v>
      </c>
      <c r="F1574" s="5">
        <v>3200</v>
      </c>
      <c r="G1574" s="5">
        <v>3048.23</v>
      </c>
      <c r="H1574" s="6">
        <v>223744600</v>
      </c>
      <c r="I1574" s="22" t="str">
        <f t="shared" si="155"/>
        <v>-</v>
      </c>
      <c r="J1574" s="7">
        <f t="shared" si="156"/>
        <v>-3.9039039039039038</v>
      </c>
      <c r="K1574" s="7">
        <f t="shared" si="157"/>
        <v>-2.8212697777061617</v>
      </c>
      <c r="L1574" s="2" t="str">
        <f t="shared" si="152"/>
        <v>Normal</v>
      </c>
      <c r="M1574" s="2" t="str">
        <f t="shared" si="153"/>
        <v>Normal</v>
      </c>
      <c r="N1574" s="2" t="str">
        <f t="shared" si="154"/>
        <v>No</v>
      </c>
    </row>
    <row r="1575" spans="1:14" x14ac:dyDescent="0.25">
      <c r="A1575" s="3">
        <v>45831</v>
      </c>
      <c r="B1575" s="4">
        <v>2025</v>
      </c>
      <c r="C1575" s="5">
        <v>3070</v>
      </c>
      <c r="D1575" s="5">
        <v>3290</v>
      </c>
      <c r="E1575" s="5">
        <v>3060</v>
      </c>
      <c r="F1575" s="5">
        <v>3190</v>
      </c>
      <c r="G1575" s="5">
        <v>3190</v>
      </c>
      <c r="H1575" s="6">
        <v>210462500</v>
      </c>
      <c r="I1575" s="22" t="str">
        <f t="shared" si="155"/>
        <v>-</v>
      </c>
      <c r="J1575" s="7">
        <f t="shared" si="156"/>
        <v>-0.3125</v>
      </c>
      <c r="K1575" s="7">
        <f t="shared" si="157"/>
        <v>-5.9362773447940196</v>
      </c>
      <c r="L1575" s="2" t="str">
        <f t="shared" si="152"/>
        <v>Normal</v>
      </c>
      <c r="M1575" s="2" t="str">
        <f t="shared" si="153"/>
        <v>Normal</v>
      </c>
      <c r="N1575" s="2" t="str">
        <f t="shared" si="154"/>
        <v>No</v>
      </c>
    </row>
    <row r="1576" spans="1:14" x14ac:dyDescent="0.25">
      <c r="A1576" s="3">
        <v>45832</v>
      </c>
      <c r="B1576" s="4">
        <v>2025</v>
      </c>
      <c r="C1576" s="5">
        <v>3190</v>
      </c>
      <c r="D1576" s="5">
        <v>3240</v>
      </c>
      <c r="E1576" s="5">
        <v>3070</v>
      </c>
      <c r="F1576" s="5">
        <v>3090</v>
      </c>
      <c r="G1576" s="5">
        <v>3090</v>
      </c>
      <c r="H1576" s="6">
        <v>144315500</v>
      </c>
      <c r="I1576" s="22" t="str">
        <f t="shared" si="155"/>
        <v>-</v>
      </c>
      <c r="J1576" s="7">
        <f t="shared" si="156"/>
        <v>-3.1347962382445136</v>
      </c>
      <c r="K1576" s="7">
        <f t="shared" si="157"/>
        <v>-31.42935202233177</v>
      </c>
      <c r="L1576" s="2" t="str">
        <f t="shared" si="152"/>
        <v>Normal</v>
      </c>
      <c r="M1576" s="2" t="str">
        <f t="shared" si="153"/>
        <v>Normal</v>
      </c>
      <c r="N1576" s="2" t="str">
        <f t="shared" si="154"/>
        <v>No</v>
      </c>
    </row>
    <row r="1577" spans="1:14" x14ac:dyDescent="0.25">
      <c r="A1577" s="3">
        <v>45833</v>
      </c>
      <c r="B1577" s="4">
        <v>2025</v>
      </c>
      <c r="C1577" s="5">
        <v>3100</v>
      </c>
      <c r="D1577" s="5">
        <v>3140</v>
      </c>
      <c r="E1577" s="5">
        <v>2900</v>
      </c>
      <c r="F1577" s="5">
        <v>2930</v>
      </c>
      <c r="G1577" s="5">
        <v>2930</v>
      </c>
      <c r="H1577" s="6">
        <v>220301500</v>
      </c>
      <c r="I1577" s="22" t="str">
        <f t="shared" si="155"/>
        <v>-</v>
      </c>
      <c r="J1577" s="7">
        <f t="shared" si="156"/>
        <v>-5.1779935275080913</v>
      </c>
      <c r="K1577" s="7">
        <f t="shared" si="157"/>
        <v>52.652694963465464</v>
      </c>
      <c r="L1577" s="2" t="str">
        <f t="shared" si="152"/>
        <v>Sharp Price Decrease</v>
      </c>
      <c r="M1577" s="2" t="str">
        <f t="shared" si="153"/>
        <v>Normal</v>
      </c>
      <c r="N1577" s="2" t="str">
        <f t="shared" si="154"/>
        <v>No</v>
      </c>
    </row>
    <row r="1578" spans="1:14" x14ac:dyDescent="0.25">
      <c r="A1578" s="3">
        <v>45834</v>
      </c>
      <c r="B1578" s="4">
        <v>2025</v>
      </c>
      <c r="C1578" s="5">
        <v>2930</v>
      </c>
      <c r="D1578" s="5">
        <v>2970</v>
      </c>
      <c r="E1578" s="5">
        <v>2830</v>
      </c>
      <c r="F1578" s="5">
        <v>2940</v>
      </c>
      <c r="G1578" s="5">
        <v>2940</v>
      </c>
      <c r="H1578" s="6">
        <v>230140900</v>
      </c>
      <c r="I1578" s="22" t="str">
        <f t="shared" si="155"/>
        <v>+</v>
      </c>
      <c r="J1578" s="7">
        <f t="shared" si="156"/>
        <v>0.34129692832764508</v>
      </c>
      <c r="K1578" s="7">
        <f t="shared" si="157"/>
        <v>4.4663336382185319</v>
      </c>
      <c r="L1578" s="2" t="str">
        <f t="shared" si="152"/>
        <v>Normal</v>
      </c>
      <c r="M1578" s="2" t="str">
        <f t="shared" si="153"/>
        <v>Normal</v>
      </c>
      <c r="N1578" s="2" t="str">
        <f t="shared" si="154"/>
        <v>No</v>
      </c>
    </row>
    <row r="1579" spans="1:14" x14ac:dyDescent="0.25">
      <c r="A1579" s="3">
        <v>45838</v>
      </c>
      <c r="B1579" s="4">
        <v>2025</v>
      </c>
      <c r="C1579" s="5">
        <v>2910</v>
      </c>
      <c r="D1579" s="5">
        <v>3070</v>
      </c>
      <c r="E1579" s="5">
        <v>2830</v>
      </c>
      <c r="F1579" s="5">
        <v>3040</v>
      </c>
      <c r="G1579" s="5">
        <v>3040</v>
      </c>
      <c r="H1579" s="6">
        <v>264452100</v>
      </c>
      <c r="I1579" s="22" t="str">
        <f t="shared" si="155"/>
        <v>+</v>
      </c>
      <c r="J1579" s="7">
        <f t="shared" si="156"/>
        <v>3.4013605442176873</v>
      </c>
      <c r="K1579" s="7">
        <f t="shared" si="157"/>
        <v>14.908779795334077</v>
      </c>
      <c r="L1579" s="2" t="str">
        <f t="shared" si="152"/>
        <v>Normal</v>
      </c>
      <c r="M1579" s="2" t="str">
        <f t="shared" si="153"/>
        <v>Normal</v>
      </c>
      <c r="N1579" s="2" t="str">
        <f t="shared" si="154"/>
        <v>No</v>
      </c>
    </row>
    <row r="1580" spans="1:14" x14ac:dyDescent="0.25">
      <c r="A1580" s="3">
        <v>45839</v>
      </c>
      <c r="B1580" s="4">
        <v>2025</v>
      </c>
      <c r="C1580" s="5">
        <v>3070</v>
      </c>
      <c r="D1580" s="5">
        <v>3100</v>
      </c>
      <c r="E1580" s="5">
        <v>3010</v>
      </c>
      <c r="F1580" s="5">
        <v>3070</v>
      </c>
      <c r="G1580" s="5">
        <v>3070</v>
      </c>
      <c r="H1580" s="6">
        <v>166923600</v>
      </c>
      <c r="I1580" s="22" t="str">
        <f t="shared" si="155"/>
        <v>+</v>
      </c>
      <c r="J1580" s="7">
        <f t="shared" si="156"/>
        <v>0.98684210526315785</v>
      </c>
      <c r="K1580" s="7">
        <f t="shared" si="157"/>
        <v>-36.87945756528309</v>
      </c>
      <c r="L1580" s="2" t="str">
        <f t="shared" si="152"/>
        <v>Normal</v>
      </c>
      <c r="M1580" s="2" t="str">
        <f t="shared" si="153"/>
        <v>Normal</v>
      </c>
      <c r="N1580" s="2" t="str">
        <f t="shared" si="154"/>
        <v>No</v>
      </c>
    </row>
    <row r="1581" spans="1:14" x14ac:dyDescent="0.25">
      <c r="A1581" s="3">
        <v>45840</v>
      </c>
      <c r="B1581" s="4">
        <v>2025</v>
      </c>
      <c r="C1581" s="5">
        <v>3060</v>
      </c>
      <c r="D1581" s="5">
        <v>3070</v>
      </c>
      <c r="E1581" s="5">
        <v>2960</v>
      </c>
      <c r="F1581" s="5">
        <v>2990</v>
      </c>
      <c r="G1581" s="5">
        <v>2990</v>
      </c>
      <c r="H1581" s="6">
        <v>98971800</v>
      </c>
      <c r="I1581" s="22" t="str">
        <f t="shared" si="155"/>
        <v>-</v>
      </c>
      <c r="J1581" s="7">
        <f t="shared" si="156"/>
        <v>-2.6058631921824107</v>
      </c>
      <c r="K1581" s="7">
        <f t="shared" si="157"/>
        <v>-40.708324047648148</v>
      </c>
      <c r="L1581" s="2" t="str">
        <f t="shared" si="152"/>
        <v>Normal</v>
      </c>
      <c r="M1581" s="2" t="str">
        <f t="shared" si="153"/>
        <v>Normal</v>
      </c>
      <c r="N1581" s="2" t="str">
        <f t="shared" si="154"/>
        <v>No</v>
      </c>
    </row>
    <row r="1582" spans="1:14" x14ac:dyDescent="0.25">
      <c r="A1582" s="3">
        <v>45841</v>
      </c>
      <c r="B1582" s="4">
        <v>2025</v>
      </c>
      <c r="C1582" s="5">
        <v>2990</v>
      </c>
      <c r="D1582" s="5">
        <v>3160</v>
      </c>
      <c r="E1582" s="5">
        <v>2990</v>
      </c>
      <c r="F1582" s="5">
        <v>3120</v>
      </c>
      <c r="G1582" s="5">
        <v>3120</v>
      </c>
      <c r="H1582" s="6">
        <v>151677300</v>
      </c>
      <c r="I1582" s="22" t="str">
        <f t="shared" si="155"/>
        <v>+</v>
      </c>
      <c r="J1582" s="7">
        <f t="shared" si="156"/>
        <v>4.3478260869565215</v>
      </c>
      <c r="K1582" s="7">
        <f t="shared" si="157"/>
        <v>53.253047837868969</v>
      </c>
      <c r="L1582" s="2" t="str">
        <f t="shared" si="152"/>
        <v>Normal</v>
      </c>
      <c r="M1582" s="2" t="str">
        <f t="shared" si="153"/>
        <v>Normal</v>
      </c>
      <c r="N1582" s="2" t="str">
        <f t="shared" si="154"/>
        <v>No</v>
      </c>
    </row>
    <row r="1583" spans="1:14" x14ac:dyDescent="0.25">
      <c r="A1583" s="3">
        <v>45842</v>
      </c>
      <c r="B1583" s="4">
        <v>2025</v>
      </c>
      <c r="C1583" s="5">
        <v>3120</v>
      </c>
      <c r="D1583" s="5">
        <v>3120</v>
      </c>
      <c r="E1583" s="5">
        <v>3000</v>
      </c>
      <c r="F1583" s="5">
        <v>3000</v>
      </c>
      <c r="G1583" s="5">
        <v>3000</v>
      </c>
      <c r="H1583" s="6">
        <v>159485200</v>
      </c>
      <c r="I1583" s="22" t="str">
        <f t="shared" si="155"/>
        <v>-</v>
      </c>
      <c r="J1583" s="7">
        <f t="shared" si="156"/>
        <v>-3.8461538461538463</v>
      </c>
      <c r="K1583" s="7">
        <f t="shared" si="157"/>
        <v>5.1477050290320303</v>
      </c>
      <c r="L1583" s="2" t="str">
        <f t="shared" si="152"/>
        <v>Normal</v>
      </c>
      <c r="M1583" s="2" t="str">
        <f t="shared" si="153"/>
        <v>Normal</v>
      </c>
      <c r="N1583" s="2" t="str">
        <f t="shared" si="154"/>
        <v>No</v>
      </c>
    </row>
    <row r="1584" spans="1:14" x14ac:dyDescent="0.25">
      <c r="A1584" s="3">
        <v>45845</v>
      </c>
      <c r="B1584" s="4">
        <v>2025</v>
      </c>
      <c r="C1584" s="5">
        <v>2980</v>
      </c>
      <c r="D1584" s="5">
        <v>2980</v>
      </c>
      <c r="E1584" s="5">
        <v>2870</v>
      </c>
      <c r="F1584" s="5">
        <v>2910</v>
      </c>
      <c r="G1584" s="5">
        <v>2910</v>
      </c>
      <c r="H1584" s="6">
        <v>100132700</v>
      </c>
      <c r="I1584" s="22" t="str">
        <f t="shared" si="155"/>
        <v>-</v>
      </c>
      <c r="J1584" s="7">
        <f t="shared" si="156"/>
        <v>-3</v>
      </c>
      <c r="K1584" s="7">
        <f t="shared" si="157"/>
        <v>-37.215051929583439</v>
      </c>
      <c r="L1584" s="2" t="str">
        <f t="shared" si="152"/>
        <v>Normal</v>
      </c>
      <c r="M1584" s="2" t="str">
        <f t="shared" si="153"/>
        <v>Normal</v>
      </c>
      <c r="N1584" s="2" t="str">
        <f t="shared" si="154"/>
        <v>No</v>
      </c>
    </row>
    <row r="1585" spans="1:14" x14ac:dyDescent="0.25">
      <c r="A1585" s="3">
        <v>45846</v>
      </c>
      <c r="B1585" s="4">
        <v>2025</v>
      </c>
      <c r="C1585" s="5">
        <v>2950</v>
      </c>
      <c r="D1585" s="5">
        <v>2990</v>
      </c>
      <c r="E1585" s="5">
        <v>2900</v>
      </c>
      <c r="F1585" s="5">
        <v>2930</v>
      </c>
      <c r="G1585" s="5">
        <v>2930</v>
      </c>
      <c r="H1585" s="6">
        <v>114484400</v>
      </c>
      <c r="I1585" s="22" t="str">
        <f t="shared" si="155"/>
        <v>+</v>
      </c>
      <c r="J1585" s="7">
        <f t="shared" si="156"/>
        <v>0.6872852233676976</v>
      </c>
      <c r="K1585" s="7">
        <f t="shared" si="157"/>
        <v>14.332680532932798</v>
      </c>
      <c r="L1585" s="2" t="str">
        <f t="shared" si="152"/>
        <v>Normal</v>
      </c>
      <c r="M1585" s="2" t="str">
        <f t="shared" si="153"/>
        <v>Normal</v>
      </c>
      <c r="N1585" s="2" t="str">
        <f t="shared" si="154"/>
        <v>No</v>
      </c>
    </row>
    <row r="1586" spans="1:14" x14ac:dyDescent="0.25">
      <c r="A1586" s="3">
        <v>45847</v>
      </c>
      <c r="B1586" s="4">
        <v>2025</v>
      </c>
      <c r="C1586" s="5">
        <v>2940</v>
      </c>
      <c r="D1586" s="5">
        <v>2960</v>
      </c>
      <c r="E1586" s="5">
        <v>2880</v>
      </c>
      <c r="F1586" s="5">
        <v>2920</v>
      </c>
      <c r="G1586" s="5">
        <v>2920</v>
      </c>
      <c r="H1586" s="6">
        <v>97849400</v>
      </c>
      <c r="I1586" s="22" t="str">
        <f t="shared" si="155"/>
        <v>-</v>
      </c>
      <c r="J1586" s="7">
        <f t="shared" si="156"/>
        <v>-0.34129692832764508</v>
      </c>
      <c r="K1586" s="7">
        <f t="shared" si="157"/>
        <v>-14.530363962251624</v>
      </c>
      <c r="L1586" s="2" t="str">
        <f t="shared" si="152"/>
        <v>Normal</v>
      </c>
      <c r="M1586" s="2" t="str">
        <f t="shared" si="153"/>
        <v>Normal</v>
      </c>
      <c r="N1586" s="2" t="str">
        <f t="shared" si="154"/>
        <v>No</v>
      </c>
    </row>
    <row r="1587" spans="1:14" x14ac:dyDescent="0.25">
      <c r="A1587" s="3">
        <v>45848</v>
      </c>
      <c r="B1587" s="4">
        <v>2025</v>
      </c>
      <c r="C1587" s="5">
        <v>2960</v>
      </c>
      <c r="D1587" s="5">
        <v>3070</v>
      </c>
      <c r="E1587" s="5">
        <v>2940</v>
      </c>
      <c r="F1587" s="5">
        <v>2990</v>
      </c>
      <c r="G1587" s="5">
        <v>2990</v>
      </c>
      <c r="H1587" s="6">
        <v>188109100</v>
      </c>
      <c r="I1587" s="22" t="str">
        <f t="shared" si="155"/>
        <v>+</v>
      </c>
      <c r="J1587" s="7">
        <f t="shared" si="156"/>
        <v>2.3972602739726026</v>
      </c>
      <c r="K1587" s="7">
        <f t="shared" si="157"/>
        <v>92.243488462882766</v>
      </c>
      <c r="L1587" s="2" t="str">
        <f t="shared" si="152"/>
        <v>Normal</v>
      </c>
      <c r="M1587" s="2" t="str">
        <f t="shared" si="153"/>
        <v>Normal</v>
      </c>
      <c r="N1587" s="2" t="str">
        <f t="shared" si="154"/>
        <v>No</v>
      </c>
    </row>
    <row r="1588" spans="1:14" x14ac:dyDescent="0.25">
      <c r="A1588" s="3">
        <v>45849</v>
      </c>
      <c r="B1588" s="4">
        <v>2025</v>
      </c>
      <c r="C1588" s="5">
        <v>3000</v>
      </c>
      <c r="D1588" s="5">
        <v>3020</v>
      </c>
      <c r="E1588" s="5">
        <v>2960</v>
      </c>
      <c r="F1588" s="5">
        <v>2990</v>
      </c>
      <c r="G1588" s="5">
        <v>2990</v>
      </c>
      <c r="H1588" s="6">
        <v>97432200</v>
      </c>
      <c r="I1588" s="22" t="str">
        <f t="shared" si="155"/>
        <v>0</v>
      </c>
      <c r="J1588" s="7">
        <f t="shared" si="156"/>
        <v>0</v>
      </c>
      <c r="K1588" s="7">
        <f t="shared" si="157"/>
        <v>-48.204419669223867</v>
      </c>
      <c r="L1588" s="2" t="str">
        <f t="shared" si="152"/>
        <v>Normal</v>
      </c>
      <c r="M1588" s="2" t="str">
        <f t="shared" si="153"/>
        <v>Normal</v>
      </c>
      <c r="N1588" s="2" t="str">
        <f t="shared" si="154"/>
        <v>No</v>
      </c>
    </row>
    <row r="1589" spans="1:14" x14ac:dyDescent="0.25">
      <c r="A1589" s="3">
        <v>45852</v>
      </c>
      <c r="B1589" s="4">
        <v>2025</v>
      </c>
      <c r="C1589" s="5">
        <v>3030</v>
      </c>
      <c r="D1589" s="5">
        <v>3060</v>
      </c>
      <c r="E1589" s="5">
        <v>2960</v>
      </c>
      <c r="F1589" s="5">
        <v>3030</v>
      </c>
      <c r="G1589" s="5">
        <v>3030</v>
      </c>
      <c r="H1589" s="6">
        <v>170174900</v>
      </c>
      <c r="I1589" s="22" t="str">
        <f t="shared" si="155"/>
        <v>+</v>
      </c>
      <c r="J1589" s="7">
        <f t="shared" si="156"/>
        <v>1.3377926421404682</v>
      </c>
      <c r="K1589" s="7">
        <f t="shared" si="157"/>
        <v>74.659814722442889</v>
      </c>
      <c r="L1589" s="2" t="str">
        <f t="shared" si="152"/>
        <v>Normal</v>
      </c>
      <c r="M1589" s="2" t="str">
        <f t="shared" si="153"/>
        <v>Normal</v>
      </c>
      <c r="N1589" s="2" t="str">
        <f t="shared" si="154"/>
        <v>No</v>
      </c>
    </row>
    <row r="1590" spans="1:14" x14ac:dyDescent="0.25">
      <c r="A1590" s="3">
        <v>45853</v>
      </c>
      <c r="B1590" s="4">
        <v>2025</v>
      </c>
      <c r="C1590" s="5">
        <v>3030</v>
      </c>
      <c r="D1590" s="5">
        <v>3030</v>
      </c>
      <c r="E1590" s="5">
        <v>2960</v>
      </c>
      <c r="F1590" s="5">
        <v>3000</v>
      </c>
      <c r="G1590" s="5">
        <v>3000</v>
      </c>
      <c r="H1590" s="6">
        <v>77789300</v>
      </c>
      <c r="I1590" s="22" t="str">
        <f t="shared" si="155"/>
        <v>-</v>
      </c>
      <c r="J1590" s="7">
        <f t="shared" si="156"/>
        <v>-0.99009900990099009</v>
      </c>
      <c r="K1590" s="7">
        <f t="shared" si="157"/>
        <v>-54.288617181499745</v>
      </c>
      <c r="L1590" s="2" t="str">
        <f t="shared" si="152"/>
        <v>Normal</v>
      </c>
      <c r="M1590" s="2" t="str">
        <f t="shared" si="153"/>
        <v>Normal</v>
      </c>
      <c r="N1590" s="2" t="str">
        <f t="shared" si="154"/>
        <v>No</v>
      </c>
    </row>
    <row r="1591" spans="1:14" x14ac:dyDescent="0.25">
      <c r="A1591" s="3">
        <v>45854</v>
      </c>
      <c r="B1591" s="4">
        <v>2025</v>
      </c>
      <c r="C1591" s="5">
        <v>2990</v>
      </c>
      <c r="D1591" s="5">
        <v>3010</v>
      </c>
      <c r="E1591" s="5">
        <v>2940</v>
      </c>
      <c r="F1591" s="5">
        <v>2990</v>
      </c>
      <c r="G1591" s="5">
        <v>2990</v>
      </c>
      <c r="H1591" s="6">
        <v>126818600</v>
      </c>
      <c r="I1591" s="22" t="str">
        <f t="shared" si="155"/>
        <v>-</v>
      </c>
      <c r="J1591" s="7">
        <f t="shared" si="156"/>
        <v>-0.33333333333333337</v>
      </c>
      <c r="K1591" s="7">
        <f t="shared" si="157"/>
        <v>63.028334231057478</v>
      </c>
      <c r="L1591" s="2" t="str">
        <f t="shared" si="152"/>
        <v>Normal</v>
      </c>
      <c r="M1591" s="2" t="str">
        <f t="shared" si="153"/>
        <v>Normal</v>
      </c>
      <c r="N1591" s="2" t="str">
        <f t="shared" si="154"/>
        <v>No</v>
      </c>
    </row>
    <row r="1592" spans="1:14" x14ac:dyDescent="0.25">
      <c r="A1592" s="3">
        <v>45855</v>
      </c>
      <c r="B1592" s="4">
        <v>2025</v>
      </c>
      <c r="C1592" s="5">
        <v>3010</v>
      </c>
      <c r="D1592" s="5">
        <v>3070</v>
      </c>
      <c r="E1592" s="5">
        <v>2990</v>
      </c>
      <c r="F1592" s="5">
        <v>3010</v>
      </c>
      <c r="G1592" s="5">
        <v>3010</v>
      </c>
      <c r="H1592" s="6">
        <v>149618400</v>
      </c>
      <c r="I1592" s="22" t="str">
        <f t="shared" si="155"/>
        <v>+</v>
      </c>
      <c r="J1592" s="7">
        <f t="shared" si="156"/>
        <v>0.66889632107023411</v>
      </c>
      <c r="K1592" s="7">
        <f t="shared" si="157"/>
        <v>17.978277634353322</v>
      </c>
      <c r="L1592" s="2" t="str">
        <f t="shared" si="152"/>
        <v>Normal</v>
      </c>
      <c r="M1592" s="2" t="str">
        <f t="shared" si="153"/>
        <v>Normal</v>
      </c>
      <c r="N1592" s="2" t="str">
        <f t="shared" si="154"/>
        <v>No</v>
      </c>
    </row>
    <row r="1593" spans="1:14" x14ac:dyDescent="0.25">
      <c r="A1593" s="3">
        <v>45856</v>
      </c>
      <c r="B1593" s="4">
        <v>2025</v>
      </c>
      <c r="C1593" s="5">
        <v>3020</v>
      </c>
      <c r="D1593" s="5">
        <v>3030</v>
      </c>
      <c r="E1593" s="5">
        <v>2940</v>
      </c>
      <c r="F1593" s="5">
        <v>2970</v>
      </c>
      <c r="G1593" s="5">
        <v>2970</v>
      </c>
      <c r="H1593" s="6">
        <v>116561200</v>
      </c>
      <c r="I1593" s="22" t="str">
        <f t="shared" si="155"/>
        <v>-</v>
      </c>
      <c r="J1593" s="7">
        <f t="shared" si="156"/>
        <v>-1.3289036544850499</v>
      </c>
      <c r="K1593" s="7">
        <f t="shared" si="157"/>
        <v>-22.094341337696434</v>
      </c>
      <c r="L1593" s="2" t="str">
        <f t="shared" si="152"/>
        <v>Normal</v>
      </c>
      <c r="M1593" s="2" t="str">
        <f t="shared" si="153"/>
        <v>Normal</v>
      </c>
      <c r="N1593" s="2" t="str">
        <f t="shared" si="154"/>
        <v>No</v>
      </c>
    </row>
    <row r="1594" spans="1:14" x14ac:dyDescent="0.25">
      <c r="A1594" s="3">
        <v>45859</v>
      </c>
      <c r="B1594" s="4">
        <v>2025</v>
      </c>
      <c r="C1594" s="5">
        <v>2990</v>
      </c>
      <c r="D1594" s="5">
        <v>3210</v>
      </c>
      <c r="E1594" s="5">
        <v>2950</v>
      </c>
      <c r="F1594" s="5">
        <v>3190</v>
      </c>
      <c r="G1594" s="5">
        <v>3190</v>
      </c>
      <c r="H1594" s="6">
        <v>222853800</v>
      </c>
      <c r="I1594" s="22" t="str">
        <f t="shared" si="155"/>
        <v>+</v>
      </c>
      <c r="J1594" s="7">
        <f t="shared" si="156"/>
        <v>7.4074074074074066</v>
      </c>
      <c r="K1594" s="7">
        <f t="shared" si="157"/>
        <v>91.190378959722452</v>
      </c>
      <c r="L1594" s="2" t="str">
        <f t="shared" si="152"/>
        <v>Sharp Price Increase</v>
      </c>
      <c r="M1594" s="2" t="str">
        <f t="shared" si="153"/>
        <v>Normal</v>
      </c>
      <c r="N1594" s="2" t="str">
        <f t="shared" si="154"/>
        <v>No</v>
      </c>
    </row>
    <row r="1595" spans="1:14" x14ac:dyDescent="0.25">
      <c r="A1595" s="3">
        <v>45860</v>
      </c>
      <c r="B1595" s="4">
        <v>2025</v>
      </c>
      <c r="C1595" s="5">
        <v>3250</v>
      </c>
      <c r="D1595" s="5">
        <v>3270</v>
      </c>
      <c r="E1595" s="5">
        <v>2950</v>
      </c>
      <c r="F1595" s="5">
        <v>2960</v>
      </c>
      <c r="G1595" s="5">
        <v>2960</v>
      </c>
      <c r="H1595" s="6">
        <v>426088000</v>
      </c>
      <c r="I1595" s="22" t="str">
        <f t="shared" si="155"/>
        <v>-</v>
      </c>
      <c r="J1595" s="7">
        <f t="shared" si="156"/>
        <v>-7.2100313479623823</v>
      </c>
      <c r="K1595" s="7">
        <f t="shared" si="157"/>
        <v>91.196201276352468</v>
      </c>
      <c r="L1595" s="2" t="str">
        <f t="shared" si="152"/>
        <v>Sharp Price Decrease</v>
      </c>
      <c r="M1595" s="2" t="str">
        <f t="shared" si="153"/>
        <v>Normal</v>
      </c>
      <c r="N1595" s="2" t="str">
        <f t="shared" si="154"/>
        <v>No</v>
      </c>
    </row>
    <row r="1596" spans="1:14" x14ac:dyDescent="0.25">
      <c r="A1596" s="3">
        <v>45861</v>
      </c>
      <c r="B1596" s="4">
        <v>2025</v>
      </c>
      <c r="C1596" s="5">
        <v>3010</v>
      </c>
      <c r="D1596" s="5">
        <v>3040</v>
      </c>
      <c r="E1596" s="5">
        <v>2870</v>
      </c>
      <c r="F1596" s="5">
        <v>3040</v>
      </c>
      <c r="G1596" s="5">
        <v>3040</v>
      </c>
      <c r="H1596" s="6">
        <v>195644700</v>
      </c>
      <c r="I1596" s="22" t="str">
        <f t="shared" si="155"/>
        <v>+</v>
      </c>
      <c r="J1596" s="7">
        <f t="shared" si="156"/>
        <v>2.7027027027027026</v>
      </c>
      <c r="K1596" s="7">
        <f t="shared" si="157"/>
        <v>-54.0834991832673</v>
      </c>
      <c r="L1596" s="2" t="str">
        <f t="shared" si="152"/>
        <v>Normal</v>
      </c>
      <c r="M1596" s="2" t="str">
        <f t="shared" si="153"/>
        <v>Normal</v>
      </c>
      <c r="N1596" s="2" t="str">
        <f t="shared" si="154"/>
        <v>No</v>
      </c>
    </row>
    <row r="1597" spans="1:14" x14ac:dyDescent="0.25">
      <c r="A1597" s="3">
        <v>45862</v>
      </c>
      <c r="B1597" s="4">
        <v>2025</v>
      </c>
      <c r="C1597" s="5">
        <v>3020</v>
      </c>
      <c r="D1597" s="5">
        <v>3070</v>
      </c>
      <c r="E1597" s="5">
        <v>2980</v>
      </c>
      <c r="F1597" s="5">
        <v>3030</v>
      </c>
      <c r="G1597" s="5">
        <v>3030</v>
      </c>
      <c r="H1597" s="6">
        <v>97755800</v>
      </c>
      <c r="I1597" s="22" t="str">
        <f t="shared" si="155"/>
        <v>-</v>
      </c>
      <c r="J1597" s="7">
        <f t="shared" si="156"/>
        <v>-0.3289473684210526</v>
      </c>
      <c r="K1597" s="7">
        <f t="shared" si="157"/>
        <v>-50.034015743845863</v>
      </c>
      <c r="L1597" s="2" t="str">
        <f t="shared" si="152"/>
        <v>Normal</v>
      </c>
      <c r="M1597" s="2" t="str">
        <f t="shared" si="153"/>
        <v>Normal</v>
      </c>
      <c r="N1597" s="2" t="str">
        <f t="shared" si="154"/>
        <v>No</v>
      </c>
    </row>
    <row r="1598" spans="1:14" x14ac:dyDescent="0.25">
      <c r="A1598" s="3">
        <v>45863</v>
      </c>
      <c r="B1598" s="4">
        <v>2025</v>
      </c>
      <c r="C1598" s="5">
        <v>3040</v>
      </c>
      <c r="D1598" s="5">
        <v>3040</v>
      </c>
      <c r="E1598" s="5">
        <v>2950</v>
      </c>
      <c r="F1598" s="5">
        <v>2970</v>
      </c>
      <c r="G1598" s="5">
        <v>2970</v>
      </c>
      <c r="H1598" s="6">
        <v>61092600</v>
      </c>
      <c r="I1598" s="22" t="str">
        <f t="shared" si="155"/>
        <v>-</v>
      </c>
      <c r="J1598" s="7">
        <f t="shared" si="156"/>
        <v>-1.9801980198019802</v>
      </c>
      <c r="K1598" s="7">
        <f t="shared" si="157"/>
        <v>-37.504884620656782</v>
      </c>
      <c r="L1598" s="2" t="str">
        <f t="shared" si="152"/>
        <v>Normal</v>
      </c>
      <c r="M1598" s="2" t="str">
        <f t="shared" si="153"/>
        <v>Normal</v>
      </c>
      <c r="N1598" s="2" t="str">
        <f t="shared" si="154"/>
        <v>No</v>
      </c>
    </row>
    <row r="1599" spans="1:14" x14ac:dyDescent="0.25">
      <c r="A1599" s="3">
        <v>45866</v>
      </c>
      <c r="B1599" s="4">
        <v>2025</v>
      </c>
      <c r="C1599" s="5">
        <v>2970</v>
      </c>
      <c r="D1599" s="5">
        <v>3030</v>
      </c>
      <c r="E1599" s="5">
        <v>2950</v>
      </c>
      <c r="F1599" s="5">
        <v>2970</v>
      </c>
      <c r="G1599" s="5">
        <v>2970</v>
      </c>
      <c r="H1599" s="6">
        <v>85126700</v>
      </c>
      <c r="I1599" s="22" t="str">
        <f t="shared" si="155"/>
        <v>0</v>
      </c>
      <c r="J1599" s="7">
        <f t="shared" si="156"/>
        <v>0</v>
      </c>
      <c r="K1599" s="7">
        <f t="shared" si="157"/>
        <v>39.340443850810082</v>
      </c>
      <c r="L1599" s="2" t="str">
        <f t="shared" si="152"/>
        <v>Normal</v>
      </c>
      <c r="M1599" s="2" t="str">
        <f t="shared" si="153"/>
        <v>Normal</v>
      </c>
      <c r="N1599" s="2" t="str">
        <f t="shared" si="154"/>
        <v>No</v>
      </c>
    </row>
    <row r="1600" spans="1:14" x14ac:dyDescent="0.25">
      <c r="A1600" s="3">
        <v>45867</v>
      </c>
      <c r="B1600" s="4">
        <v>2025</v>
      </c>
      <c r="C1600" s="5">
        <v>2970</v>
      </c>
      <c r="D1600" s="5">
        <v>3020</v>
      </c>
      <c r="E1600" s="5">
        <v>2970</v>
      </c>
      <c r="F1600" s="5">
        <v>3000</v>
      </c>
      <c r="G1600" s="5">
        <v>3000</v>
      </c>
      <c r="H1600" s="6">
        <v>53886500</v>
      </c>
      <c r="I1600" s="22" t="str">
        <f t="shared" si="155"/>
        <v>+</v>
      </c>
      <c r="J1600" s="7">
        <f t="shared" si="156"/>
        <v>1.0101010101010102</v>
      </c>
      <c r="K1600" s="7">
        <f t="shared" si="157"/>
        <v>-36.69847415675693</v>
      </c>
      <c r="L1600" s="2" t="str">
        <f t="shared" si="152"/>
        <v>Normal</v>
      </c>
      <c r="M1600" s="2" t="str">
        <f t="shared" si="153"/>
        <v>Normal</v>
      </c>
      <c r="N1600" s="2" t="str">
        <f t="shared" si="154"/>
        <v>No</v>
      </c>
    </row>
    <row r="1601" spans="1:14" x14ac:dyDescent="0.25">
      <c r="A1601" s="3">
        <v>45868</v>
      </c>
      <c r="B1601" s="4">
        <v>2025</v>
      </c>
      <c r="C1601" s="5">
        <v>3010</v>
      </c>
      <c r="D1601" s="5">
        <v>3050</v>
      </c>
      <c r="E1601" s="5">
        <v>2970</v>
      </c>
      <c r="F1601" s="5">
        <v>2990</v>
      </c>
      <c r="G1601" s="5">
        <v>2990</v>
      </c>
      <c r="H1601" s="6">
        <v>58846000</v>
      </c>
      <c r="I1601" s="22" t="str">
        <f t="shared" si="155"/>
        <v>-</v>
      </c>
      <c r="J1601" s="7">
        <f t="shared" si="156"/>
        <v>-0.33333333333333337</v>
      </c>
      <c r="K1601" s="7">
        <f t="shared" si="157"/>
        <v>9.2036038710994408</v>
      </c>
      <c r="L1601" s="2" t="str">
        <f t="shared" si="152"/>
        <v>Normal</v>
      </c>
      <c r="M1601" s="2" t="str">
        <f t="shared" si="153"/>
        <v>Normal</v>
      </c>
      <c r="N1601" s="2" t="str">
        <f t="shared" si="154"/>
        <v>No</v>
      </c>
    </row>
    <row r="1602" spans="1:14" x14ac:dyDescent="0.25">
      <c r="A1602" s="3">
        <v>45869</v>
      </c>
      <c r="B1602" s="4">
        <v>2025</v>
      </c>
      <c r="C1602" s="5">
        <v>2950</v>
      </c>
      <c r="D1602" s="5">
        <v>2970</v>
      </c>
      <c r="E1602" s="5">
        <v>2770</v>
      </c>
      <c r="F1602" s="5">
        <v>2850</v>
      </c>
      <c r="G1602" s="5">
        <v>2850</v>
      </c>
      <c r="H1602" s="6">
        <v>235205600</v>
      </c>
      <c r="I1602" s="22" t="str">
        <f t="shared" si="155"/>
        <v>-</v>
      </c>
      <c r="J1602" s="7">
        <f t="shared" si="156"/>
        <v>-4.6822742474916383</v>
      </c>
      <c r="K1602" s="7">
        <f t="shared" si="157"/>
        <v>299.69683580872106</v>
      </c>
      <c r="L1602" s="2" t="str">
        <f t="shared" si="152"/>
        <v>Sharp Price Decrease</v>
      </c>
      <c r="M1602" s="2" t="str">
        <f t="shared" si="153"/>
        <v>Sharp Volume Increase</v>
      </c>
      <c r="N1602" s="2" t="str">
        <f t="shared" si="154"/>
        <v>Yes</v>
      </c>
    </row>
    <row r="1603" spans="1:14" x14ac:dyDescent="0.25">
      <c r="A1603" s="3">
        <v>45870</v>
      </c>
      <c r="B1603" s="4">
        <v>2025</v>
      </c>
      <c r="C1603" s="5">
        <v>2860</v>
      </c>
      <c r="D1603" s="5">
        <v>2920</v>
      </c>
      <c r="E1603" s="5">
        <v>2830</v>
      </c>
      <c r="F1603" s="5">
        <v>2880</v>
      </c>
      <c r="G1603" s="5">
        <v>2880</v>
      </c>
      <c r="H1603" s="6">
        <v>102024200</v>
      </c>
      <c r="I1603" s="22" t="str">
        <f t="shared" si="155"/>
        <v>+</v>
      </c>
      <c r="J1603" s="7">
        <f t="shared" si="156"/>
        <v>1.0526315789473684</v>
      </c>
      <c r="K1603" s="7">
        <f t="shared" si="157"/>
        <v>-56.623396721846767</v>
      </c>
      <c r="L1603" s="2" t="str">
        <f t="shared" ref="L1603:L1666" si="158">IFERROR(IF(OR(J1603="",ISBLANK(J1603)),"Normal",IF(J1603&lt;=$U$6,"Sharp Price Decrease",IF(J1603&gt;=$U$7,"Sharp Price Increase","Normal"))),"Normal")</f>
        <v>Normal</v>
      </c>
      <c r="M1603" s="2" t="str">
        <f t="shared" ref="M1603:M1666" si="159">IFERROR(IF(OR(K1603="",ISBLANK(K1603)),"Normal",IF(K1603&lt;=$U$8,"Sharp Volume Decrease",IF(K1603&gt;=$U$9,"Sharp Volume Increase","Normal"))),"Normal")</f>
        <v>Normal</v>
      </c>
      <c r="N1603" s="2" t="str">
        <f t="shared" ref="N1603:N1666" si="160">IFERROR(IF(AND(OR(L1603="Sharp Price Increase",L1603="Sharp Price Decrease"),OR(M1603="Sharp Volume Increase",M1603="Sharp Volume Decrease")),"Yes","No"),"No")</f>
        <v>No</v>
      </c>
    </row>
    <row r="1604" spans="1:14" x14ac:dyDescent="0.25">
      <c r="A1604" s="3">
        <v>45873</v>
      </c>
      <c r="B1604" s="4">
        <v>2025</v>
      </c>
      <c r="C1604" s="5">
        <v>2920</v>
      </c>
      <c r="D1604" s="5">
        <v>2970</v>
      </c>
      <c r="E1604" s="5">
        <v>2890</v>
      </c>
      <c r="F1604" s="5">
        <v>2910</v>
      </c>
      <c r="G1604" s="5">
        <v>2910</v>
      </c>
      <c r="H1604" s="6">
        <v>75538900</v>
      </c>
      <c r="I1604" s="22" t="str">
        <f t="shared" ref="I1604:I1667" si="161">IFERROR(IF(OR(F1603="",F1604=""),"",IF(F1604-F1603&lt;0,"-",IF(F1604-F1603&gt;0,"+","0"))),"")</f>
        <v>+</v>
      </c>
      <c r="J1604" s="7">
        <f t="shared" ref="J1604:J1667" si="162">(F1604-F1603)/F1603*100</f>
        <v>1.0416666666666665</v>
      </c>
      <c r="K1604" s="7">
        <f t="shared" ref="K1604:K1667" si="163">(H1604-H1603)/H1603*100</f>
        <v>-25.959821297300049</v>
      </c>
      <c r="L1604" s="2" t="str">
        <f t="shared" si="158"/>
        <v>Normal</v>
      </c>
      <c r="M1604" s="2" t="str">
        <f t="shared" si="159"/>
        <v>Normal</v>
      </c>
      <c r="N1604" s="2" t="str">
        <f t="shared" si="160"/>
        <v>No</v>
      </c>
    </row>
    <row r="1605" spans="1:14" x14ac:dyDescent="0.25">
      <c r="A1605" s="3">
        <v>45874</v>
      </c>
      <c r="B1605" s="4">
        <v>2025</v>
      </c>
      <c r="C1605" s="5">
        <v>2930</v>
      </c>
      <c r="D1605" s="5">
        <v>3050</v>
      </c>
      <c r="E1605" s="5">
        <v>2910</v>
      </c>
      <c r="F1605" s="5">
        <v>2940</v>
      </c>
      <c r="G1605" s="5">
        <v>2940</v>
      </c>
      <c r="H1605" s="6">
        <v>151094800</v>
      </c>
      <c r="I1605" s="22" t="str">
        <f t="shared" si="161"/>
        <v>+</v>
      </c>
      <c r="J1605" s="7">
        <f t="shared" si="162"/>
        <v>1.0309278350515463</v>
      </c>
      <c r="K1605" s="7">
        <f t="shared" si="163"/>
        <v>100.02250496102008</v>
      </c>
      <c r="L1605" s="2" t="str">
        <f t="shared" si="158"/>
        <v>Normal</v>
      </c>
      <c r="M1605" s="2" t="str">
        <f t="shared" si="159"/>
        <v>Normal</v>
      </c>
      <c r="N1605" s="2" t="str">
        <f t="shared" si="160"/>
        <v>No</v>
      </c>
    </row>
    <row r="1606" spans="1:14" x14ac:dyDescent="0.25">
      <c r="A1606" s="3">
        <v>45875</v>
      </c>
      <c r="B1606" s="4">
        <v>2025</v>
      </c>
      <c r="C1606" s="5">
        <v>2970</v>
      </c>
      <c r="D1606" s="5">
        <v>3100</v>
      </c>
      <c r="E1606" s="5">
        <v>2970</v>
      </c>
      <c r="F1606" s="5">
        <v>3080</v>
      </c>
      <c r="G1606" s="5">
        <v>3080</v>
      </c>
      <c r="H1606" s="6">
        <v>192180500</v>
      </c>
      <c r="I1606" s="22" t="str">
        <f t="shared" si="161"/>
        <v>+</v>
      </c>
      <c r="J1606" s="7">
        <f t="shared" si="162"/>
        <v>4.7619047619047619</v>
      </c>
      <c r="K1606" s="7">
        <f t="shared" si="163"/>
        <v>27.192001313082915</v>
      </c>
      <c r="L1606" s="2" t="str">
        <f t="shared" si="158"/>
        <v>Normal</v>
      </c>
      <c r="M1606" s="2" t="str">
        <f t="shared" si="159"/>
        <v>Normal</v>
      </c>
      <c r="N1606" s="2" t="str">
        <f t="shared" si="160"/>
        <v>No</v>
      </c>
    </row>
    <row r="1607" spans="1:14" x14ac:dyDescent="0.25">
      <c r="A1607" s="3">
        <v>45876</v>
      </c>
      <c r="B1607" s="4">
        <v>2025</v>
      </c>
      <c r="C1607" s="5">
        <v>3100</v>
      </c>
      <c r="D1607" s="5">
        <v>3250</v>
      </c>
      <c r="E1607" s="5">
        <v>3070</v>
      </c>
      <c r="F1607" s="5">
        <v>3150</v>
      </c>
      <c r="G1607" s="5">
        <v>3150</v>
      </c>
      <c r="H1607" s="6">
        <v>222004300</v>
      </c>
      <c r="I1607" s="22" t="str">
        <f t="shared" si="161"/>
        <v>+</v>
      </c>
      <c r="J1607" s="7">
        <f t="shared" si="162"/>
        <v>2.2727272727272729</v>
      </c>
      <c r="K1607" s="7">
        <f t="shared" si="163"/>
        <v>15.518640028514859</v>
      </c>
      <c r="L1607" s="2" t="str">
        <f t="shared" si="158"/>
        <v>Normal</v>
      </c>
      <c r="M1607" s="2" t="str">
        <f t="shared" si="159"/>
        <v>Normal</v>
      </c>
      <c r="N1607" s="2" t="str">
        <f t="shared" si="160"/>
        <v>No</v>
      </c>
    </row>
    <row r="1608" spans="1:14" x14ac:dyDescent="0.25">
      <c r="A1608" s="3">
        <v>45877</v>
      </c>
      <c r="B1608" s="4">
        <v>2025</v>
      </c>
      <c r="C1608" s="5">
        <v>3160</v>
      </c>
      <c r="D1608" s="5">
        <v>3170</v>
      </c>
      <c r="E1608" s="5">
        <v>3020</v>
      </c>
      <c r="F1608" s="5">
        <v>3090</v>
      </c>
      <c r="G1608" s="5">
        <v>3090</v>
      </c>
      <c r="H1608" s="6">
        <v>102084600</v>
      </c>
      <c r="I1608" s="22" t="str">
        <f t="shared" si="161"/>
        <v>-</v>
      </c>
      <c r="J1608" s="7">
        <f t="shared" si="162"/>
        <v>-1.9047619047619049</v>
      </c>
      <c r="K1608" s="7">
        <f t="shared" si="163"/>
        <v>-54.016836610822402</v>
      </c>
      <c r="L1608" s="2" t="str">
        <f t="shared" si="158"/>
        <v>Normal</v>
      </c>
      <c r="M1608" s="2" t="str">
        <f t="shared" si="159"/>
        <v>Normal</v>
      </c>
      <c r="N1608" s="2" t="str">
        <f t="shared" si="160"/>
        <v>No</v>
      </c>
    </row>
    <row r="1609" spans="1:14" x14ac:dyDescent="0.25">
      <c r="A1609" s="3">
        <v>45880</v>
      </c>
      <c r="B1609" s="4">
        <v>2025</v>
      </c>
      <c r="C1609" s="5">
        <v>3060</v>
      </c>
      <c r="D1609" s="5">
        <v>3070</v>
      </c>
      <c r="E1609" s="5">
        <v>2930</v>
      </c>
      <c r="F1609" s="5">
        <v>2940</v>
      </c>
      <c r="G1609" s="5">
        <v>2940</v>
      </c>
      <c r="H1609" s="6">
        <v>141894900</v>
      </c>
      <c r="I1609" s="22" t="str">
        <f t="shared" si="161"/>
        <v>-</v>
      </c>
      <c r="J1609" s="7">
        <f t="shared" si="162"/>
        <v>-4.8543689320388346</v>
      </c>
      <c r="K1609" s="7">
        <f t="shared" si="163"/>
        <v>38.997361012336832</v>
      </c>
      <c r="L1609" s="2" t="str">
        <f t="shared" si="158"/>
        <v>Sharp Price Decrease</v>
      </c>
      <c r="M1609" s="2" t="str">
        <f t="shared" si="159"/>
        <v>Normal</v>
      </c>
      <c r="N1609" s="2" t="str">
        <f t="shared" si="160"/>
        <v>No</v>
      </c>
    </row>
    <row r="1610" spans="1:14" x14ac:dyDescent="0.25">
      <c r="A1610" s="3">
        <v>45881</v>
      </c>
      <c r="B1610" s="4">
        <v>2025</v>
      </c>
      <c r="C1610" s="5">
        <v>2940</v>
      </c>
      <c r="D1610" s="5">
        <v>2950</v>
      </c>
      <c r="E1610" s="5">
        <v>2870</v>
      </c>
      <c r="F1610" s="5">
        <v>2900</v>
      </c>
      <c r="G1610" s="5">
        <v>2900</v>
      </c>
      <c r="H1610" s="6">
        <v>111654300</v>
      </c>
      <c r="I1610" s="22" t="str">
        <f t="shared" si="161"/>
        <v>-</v>
      </c>
      <c r="J1610" s="7">
        <f t="shared" si="162"/>
        <v>-1.3605442176870748</v>
      </c>
      <c r="K1610" s="7">
        <f t="shared" si="163"/>
        <v>-21.311971043356735</v>
      </c>
      <c r="L1610" s="2" t="str">
        <f t="shared" si="158"/>
        <v>Normal</v>
      </c>
      <c r="M1610" s="2" t="str">
        <f t="shared" si="159"/>
        <v>Normal</v>
      </c>
      <c r="N1610" s="2" t="str">
        <f t="shared" si="160"/>
        <v>No</v>
      </c>
    </row>
    <row r="1611" spans="1:14" x14ac:dyDescent="0.25">
      <c r="A1611" s="3">
        <v>45882</v>
      </c>
      <c r="B1611" s="4">
        <v>2025</v>
      </c>
      <c r="C1611" s="5">
        <v>2930</v>
      </c>
      <c r="D1611" s="5">
        <v>2960</v>
      </c>
      <c r="E1611" s="5">
        <v>2880</v>
      </c>
      <c r="F1611" s="5">
        <v>2910</v>
      </c>
      <c r="G1611" s="5">
        <v>2910</v>
      </c>
      <c r="H1611" s="6">
        <v>112931000</v>
      </c>
      <c r="I1611" s="22" t="str">
        <f t="shared" si="161"/>
        <v>+</v>
      </c>
      <c r="J1611" s="7">
        <f t="shared" si="162"/>
        <v>0.34482758620689657</v>
      </c>
      <c r="K1611" s="7">
        <f t="shared" si="163"/>
        <v>1.1434400645564031</v>
      </c>
      <c r="L1611" s="2" t="str">
        <f t="shared" si="158"/>
        <v>Normal</v>
      </c>
      <c r="M1611" s="2" t="str">
        <f t="shared" si="159"/>
        <v>Normal</v>
      </c>
      <c r="N1611" s="2" t="str">
        <f t="shared" si="160"/>
        <v>No</v>
      </c>
    </row>
    <row r="1612" spans="1:14" x14ac:dyDescent="0.25">
      <c r="A1612" s="3">
        <v>45883</v>
      </c>
      <c r="B1612" s="4">
        <v>2025</v>
      </c>
      <c r="C1612" s="5">
        <v>2920</v>
      </c>
      <c r="D1612" s="5">
        <v>2940</v>
      </c>
      <c r="E1612" s="5">
        <v>2890</v>
      </c>
      <c r="F1612" s="5">
        <v>2890</v>
      </c>
      <c r="G1612" s="5">
        <v>2890</v>
      </c>
      <c r="H1612" s="6">
        <v>109598600</v>
      </c>
      <c r="I1612" s="22" t="str">
        <f t="shared" si="161"/>
        <v>-</v>
      </c>
      <c r="J1612" s="7">
        <f t="shared" si="162"/>
        <v>-0.6872852233676976</v>
      </c>
      <c r="K1612" s="7">
        <f t="shared" si="163"/>
        <v>-2.9508283819323302</v>
      </c>
      <c r="L1612" s="2" t="str">
        <f t="shared" si="158"/>
        <v>Normal</v>
      </c>
      <c r="M1612" s="2" t="str">
        <f t="shared" si="159"/>
        <v>Normal</v>
      </c>
      <c r="N1612" s="2" t="str">
        <f t="shared" si="160"/>
        <v>No</v>
      </c>
    </row>
    <row r="1613" spans="1:14" x14ac:dyDescent="0.25">
      <c r="A1613" s="3">
        <v>45884</v>
      </c>
      <c r="B1613" s="4">
        <v>2025</v>
      </c>
      <c r="C1613" s="5">
        <v>2900</v>
      </c>
      <c r="D1613" s="5">
        <v>2920</v>
      </c>
      <c r="E1613" s="5">
        <v>2860</v>
      </c>
      <c r="F1613" s="5">
        <v>2900</v>
      </c>
      <c r="G1613" s="5">
        <v>2900</v>
      </c>
      <c r="H1613" s="6">
        <v>59231900</v>
      </c>
      <c r="I1613" s="22" t="str">
        <f t="shared" si="161"/>
        <v>+</v>
      </c>
      <c r="J1613" s="7">
        <f t="shared" si="162"/>
        <v>0.34602076124567477</v>
      </c>
      <c r="K1613" s="7">
        <f t="shared" si="163"/>
        <v>-45.955605272330118</v>
      </c>
      <c r="L1613" s="2" t="str">
        <f t="shared" si="158"/>
        <v>Normal</v>
      </c>
      <c r="M1613" s="2" t="str">
        <f t="shared" si="159"/>
        <v>Normal</v>
      </c>
      <c r="N1613" s="2" t="str">
        <f t="shared" si="160"/>
        <v>No</v>
      </c>
    </row>
    <row r="1614" spans="1:14" x14ac:dyDescent="0.25">
      <c r="A1614" s="3">
        <v>45888</v>
      </c>
      <c r="B1614" s="4">
        <v>2025</v>
      </c>
      <c r="C1614" s="5">
        <v>2900</v>
      </c>
      <c r="D1614" s="5">
        <v>2910</v>
      </c>
      <c r="E1614" s="5">
        <v>2810</v>
      </c>
      <c r="F1614" s="5">
        <v>2810</v>
      </c>
      <c r="G1614" s="5">
        <v>2810</v>
      </c>
      <c r="H1614" s="6">
        <v>111569000</v>
      </c>
      <c r="I1614" s="22" t="str">
        <f t="shared" si="161"/>
        <v>-</v>
      </c>
      <c r="J1614" s="7">
        <f t="shared" si="162"/>
        <v>-3.103448275862069</v>
      </c>
      <c r="K1614" s="7">
        <f t="shared" si="163"/>
        <v>88.359650796277009</v>
      </c>
      <c r="L1614" s="2" t="str">
        <f t="shared" si="158"/>
        <v>Normal</v>
      </c>
      <c r="M1614" s="2" t="str">
        <f t="shared" si="159"/>
        <v>Normal</v>
      </c>
      <c r="N1614" s="2" t="str">
        <f t="shared" si="160"/>
        <v>No</v>
      </c>
    </row>
    <row r="1615" spans="1:14" x14ac:dyDescent="0.25">
      <c r="A1615" s="3">
        <v>45889</v>
      </c>
      <c r="B1615" s="4">
        <v>2025</v>
      </c>
      <c r="C1615" s="5">
        <v>2810</v>
      </c>
      <c r="D1615" s="5">
        <v>2840</v>
      </c>
      <c r="E1615" s="5">
        <v>2790</v>
      </c>
      <c r="F1615" s="5">
        <v>2840</v>
      </c>
      <c r="G1615" s="5">
        <v>2840</v>
      </c>
      <c r="H1615" s="6">
        <v>67288600</v>
      </c>
      <c r="I1615" s="22" t="str">
        <f t="shared" si="161"/>
        <v>+</v>
      </c>
      <c r="J1615" s="7">
        <f t="shared" si="162"/>
        <v>1.0676156583629894</v>
      </c>
      <c r="K1615" s="7">
        <f t="shared" si="163"/>
        <v>-39.688802445123642</v>
      </c>
      <c r="L1615" s="2" t="str">
        <f t="shared" si="158"/>
        <v>Normal</v>
      </c>
      <c r="M1615" s="2" t="str">
        <f t="shared" si="159"/>
        <v>Normal</v>
      </c>
      <c r="N1615" s="2" t="str">
        <f t="shared" si="160"/>
        <v>No</v>
      </c>
    </row>
    <row r="1616" spans="1:14" x14ac:dyDescent="0.25">
      <c r="A1616" s="3">
        <v>45890</v>
      </c>
      <c r="B1616" s="4">
        <v>2025</v>
      </c>
      <c r="C1616" s="5">
        <v>2860</v>
      </c>
      <c r="D1616" s="5">
        <v>2880</v>
      </c>
      <c r="E1616" s="5">
        <v>2810</v>
      </c>
      <c r="F1616" s="5">
        <v>2830</v>
      </c>
      <c r="G1616" s="5">
        <v>2830</v>
      </c>
      <c r="H1616" s="6">
        <v>66397100</v>
      </c>
      <c r="I1616" s="22" t="str">
        <f t="shared" si="161"/>
        <v>-</v>
      </c>
      <c r="J1616" s="7">
        <f t="shared" si="162"/>
        <v>-0.35211267605633806</v>
      </c>
      <c r="K1616" s="7">
        <f t="shared" si="163"/>
        <v>-1.3248901002547238</v>
      </c>
      <c r="L1616" s="2" t="str">
        <f t="shared" si="158"/>
        <v>Normal</v>
      </c>
      <c r="M1616" s="2" t="str">
        <f t="shared" si="159"/>
        <v>Normal</v>
      </c>
      <c r="N1616" s="2" t="str">
        <f t="shared" si="160"/>
        <v>No</v>
      </c>
    </row>
    <row r="1617" spans="1:14" x14ac:dyDescent="0.25">
      <c r="A1617" s="3">
        <v>45891</v>
      </c>
      <c r="B1617" s="4">
        <v>2025</v>
      </c>
      <c r="C1617" s="5">
        <v>2840</v>
      </c>
      <c r="D1617" s="5">
        <v>2870</v>
      </c>
      <c r="E1617" s="5">
        <v>2820</v>
      </c>
      <c r="F1617" s="5">
        <v>2820</v>
      </c>
      <c r="G1617" s="5">
        <v>2820</v>
      </c>
      <c r="H1617" s="6">
        <v>29415000</v>
      </c>
      <c r="I1617" s="22" t="str">
        <f t="shared" si="161"/>
        <v>-</v>
      </c>
      <c r="J1617" s="7">
        <f t="shared" si="162"/>
        <v>-0.35335689045936397</v>
      </c>
      <c r="K1617" s="7">
        <f t="shared" si="163"/>
        <v>-55.698366344313236</v>
      </c>
      <c r="L1617" s="2" t="str">
        <f t="shared" si="158"/>
        <v>Normal</v>
      </c>
      <c r="M1617" s="2" t="str">
        <f t="shared" si="159"/>
        <v>Normal</v>
      </c>
      <c r="N1617" s="2" t="str">
        <f t="shared" si="160"/>
        <v>No</v>
      </c>
    </row>
    <row r="1618" spans="1:14" x14ac:dyDescent="0.25">
      <c r="A1618" s="3">
        <v>45894</v>
      </c>
      <c r="B1618" s="4">
        <v>2025</v>
      </c>
      <c r="C1618" s="5">
        <v>2850</v>
      </c>
      <c r="D1618" s="5">
        <v>2900</v>
      </c>
      <c r="E1618" s="5">
        <v>2840</v>
      </c>
      <c r="F1618" s="5">
        <v>2870</v>
      </c>
      <c r="G1618" s="5">
        <v>2870</v>
      </c>
      <c r="H1618" s="6">
        <v>72067200</v>
      </c>
      <c r="I1618" s="22" t="str">
        <f t="shared" si="161"/>
        <v>+</v>
      </c>
      <c r="J1618" s="7">
        <f t="shared" si="162"/>
        <v>1.773049645390071</v>
      </c>
      <c r="K1618" s="7">
        <f t="shared" si="163"/>
        <v>145.0015298317185</v>
      </c>
      <c r="L1618" s="2" t="str">
        <f t="shared" si="158"/>
        <v>Normal</v>
      </c>
      <c r="M1618" s="2" t="str">
        <f t="shared" si="159"/>
        <v>Normal</v>
      </c>
      <c r="N1618" s="2" t="str">
        <f t="shared" si="160"/>
        <v>No</v>
      </c>
    </row>
    <row r="1619" spans="1:14" x14ac:dyDescent="0.25">
      <c r="A1619" s="3">
        <v>45895</v>
      </c>
      <c r="B1619" s="4">
        <v>2025</v>
      </c>
      <c r="C1619" s="5">
        <v>2890</v>
      </c>
      <c r="D1619" s="5">
        <v>2920</v>
      </c>
      <c r="E1619" s="5">
        <v>2880</v>
      </c>
      <c r="F1619" s="5">
        <v>2880</v>
      </c>
      <c r="G1619" s="5">
        <v>2880</v>
      </c>
      <c r="H1619" s="6">
        <v>84364800</v>
      </c>
      <c r="I1619" s="22" t="str">
        <f t="shared" si="161"/>
        <v>+</v>
      </c>
      <c r="J1619" s="7">
        <f t="shared" si="162"/>
        <v>0.34843205574912894</v>
      </c>
      <c r="K1619" s="7">
        <f t="shared" si="163"/>
        <v>17.06407353137072</v>
      </c>
      <c r="L1619" s="2" t="str">
        <f t="shared" si="158"/>
        <v>Normal</v>
      </c>
      <c r="M1619" s="2" t="str">
        <f t="shared" si="159"/>
        <v>Normal</v>
      </c>
      <c r="N1619" s="2" t="str">
        <f t="shared" si="160"/>
        <v>No</v>
      </c>
    </row>
    <row r="1620" spans="1:14" x14ac:dyDescent="0.25">
      <c r="A1620" s="3">
        <v>45896</v>
      </c>
      <c r="B1620" s="4">
        <v>2025</v>
      </c>
      <c r="C1620" s="5">
        <v>2920</v>
      </c>
      <c r="D1620" s="5">
        <v>2990</v>
      </c>
      <c r="E1620" s="5">
        <v>2890</v>
      </c>
      <c r="F1620" s="5">
        <v>2960</v>
      </c>
      <c r="G1620" s="5">
        <v>2960</v>
      </c>
      <c r="H1620" s="6">
        <v>135734500</v>
      </c>
      <c r="I1620" s="22" t="str">
        <f t="shared" si="161"/>
        <v>+</v>
      </c>
      <c r="J1620" s="7">
        <f t="shared" si="162"/>
        <v>2.7777777777777777</v>
      </c>
      <c r="K1620" s="7">
        <f t="shared" si="163"/>
        <v>60.889968328023059</v>
      </c>
      <c r="L1620" s="2" t="str">
        <f t="shared" si="158"/>
        <v>Normal</v>
      </c>
      <c r="M1620" s="2" t="str">
        <f t="shared" si="159"/>
        <v>Normal</v>
      </c>
      <c r="N1620" s="2" t="str">
        <f t="shared" si="160"/>
        <v>No</v>
      </c>
    </row>
    <row r="1621" spans="1:14" x14ac:dyDescent="0.25">
      <c r="A1621" s="3">
        <v>45897</v>
      </c>
      <c r="B1621" s="4">
        <v>2025</v>
      </c>
      <c r="C1621" s="5">
        <v>3000</v>
      </c>
      <c r="D1621" s="5">
        <v>3020</v>
      </c>
      <c r="E1621" s="5">
        <v>2920</v>
      </c>
      <c r="F1621" s="5">
        <v>2980</v>
      </c>
      <c r="G1621" s="5">
        <v>2980</v>
      </c>
      <c r="H1621" s="6">
        <v>121877400</v>
      </c>
      <c r="I1621" s="22" t="str">
        <f t="shared" si="161"/>
        <v>+</v>
      </c>
      <c r="J1621" s="7">
        <f t="shared" si="162"/>
        <v>0.67567567567567566</v>
      </c>
      <c r="K1621" s="7">
        <f t="shared" si="163"/>
        <v>-10.208974137010118</v>
      </c>
      <c r="L1621" s="2" t="str">
        <f t="shared" si="158"/>
        <v>Normal</v>
      </c>
      <c r="M1621" s="2" t="str">
        <f t="shared" si="159"/>
        <v>Normal</v>
      </c>
      <c r="N1621" s="2" t="str">
        <f t="shared" si="160"/>
        <v>No</v>
      </c>
    </row>
    <row r="1622" spans="1:14" x14ac:dyDescent="0.25">
      <c r="A1622" s="3">
        <v>45898</v>
      </c>
      <c r="B1622" s="4">
        <v>2025</v>
      </c>
      <c r="C1622" s="5">
        <v>2960</v>
      </c>
      <c r="D1622" s="5">
        <v>3050</v>
      </c>
      <c r="E1622" s="5">
        <v>2880</v>
      </c>
      <c r="F1622" s="5">
        <v>3040</v>
      </c>
      <c r="G1622" s="5">
        <v>3040</v>
      </c>
      <c r="H1622" s="6">
        <v>222596200</v>
      </c>
      <c r="I1622" s="22" t="str">
        <f t="shared" si="161"/>
        <v>+</v>
      </c>
      <c r="J1622" s="7">
        <f t="shared" si="162"/>
        <v>2.0134228187919461</v>
      </c>
      <c r="K1622" s="7">
        <f t="shared" si="163"/>
        <v>82.639439305400344</v>
      </c>
      <c r="L1622" s="2" t="str">
        <f t="shared" si="158"/>
        <v>Normal</v>
      </c>
      <c r="M1622" s="2" t="str">
        <f t="shared" si="159"/>
        <v>Normal</v>
      </c>
      <c r="N1622" s="2" t="str">
        <f t="shared" si="160"/>
        <v>No</v>
      </c>
    </row>
    <row r="1623" spans="1:14" x14ac:dyDescent="0.25">
      <c r="A1623" s="3">
        <v>45901</v>
      </c>
      <c r="B1623" s="4">
        <v>2025</v>
      </c>
      <c r="C1623" s="5">
        <v>2950</v>
      </c>
      <c r="D1623" s="5">
        <v>3280</v>
      </c>
      <c r="E1623" s="5">
        <v>2950</v>
      </c>
      <c r="F1623" s="5">
        <v>3200</v>
      </c>
      <c r="G1623" s="5">
        <v>3200</v>
      </c>
      <c r="H1623" s="6">
        <v>545677100</v>
      </c>
      <c r="I1623" s="22" t="str">
        <f t="shared" si="161"/>
        <v>+</v>
      </c>
      <c r="J1623" s="7">
        <f t="shared" si="162"/>
        <v>5.2631578947368416</v>
      </c>
      <c r="K1623" s="7">
        <f t="shared" si="163"/>
        <v>145.14214528370206</v>
      </c>
      <c r="L1623" s="2" t="str">
        <f t="shared" si="158"/>
        <v>Normal</v>
      </c>
      <c r="M1623" s="2" t="str">
        <f t="shared" si="159"/>
        <v>Normal</v>
      </c>
      <c r="N1623" s="2" t="str">
        <f t="shared" si="160"/>
        <v>No</v>
      </c>
    </row>
    <row r="1624" spans="1:14" x14ac:dyDescent="0.25">
      <c r="A1624" s="3">
        <v>45902</v>
      </c>
      <c r="B1624" s="4">
        <v>2025</v>
      </c>
      <c r="C1624" s="5">
        <v>3300</v>
      </c>
      <c r="D1624" s="5">
        <v>3480</v>
      </c>
      <c r="E1624" s="5">
        <v>3290</v>
      </c>
      <c r="F1624" s="5">
        <v>3470</v>
      </c>
      <c r="G1624" s="5">
        <v>3470</v>
      </c>
      <c r="H1624" s="6">
        <v>441940600</v>
      </c>
      <c r="I1624" s="22" t="str">
        <f t="shared" si="161"/>
        <v>+</v>
      </c>
      <c r="J1624" s="7">
        <f t="shared" si="162"/>
        <v>8.4375</v>
      </c>
      <c r="K1624" s="7">
        <f t="shared" si="163"/>
        <v>-19.010601691000044</v>
      </c>
      <c r="L1624" s="2" t="str">
        <f t="shared" si="158"/>
        <v>Sharp Price Increase</v>
      </c>
      <c r="M1624" s="2" t="str">
        <f t="shared" si="159"/>
        <v>Normal</v>
      </c>
      <c r="N1624" s="2" t="str">
        <f t="shared" si="160"/>
        <v>No</v>
      </c>
    </row>
    <row r="1625" spans="1:14" x14ac:dyDescent="0.25">
      <c r="A1625" s="3">
        <v>45903</v>
      </c>
      <c r="B1625" s="4">
        <v>2025</v>
      </c>
      <c r="C1625" s="5">
        <v>3520</v>
      </c>
      <c r="D1625" s="5">
        <v>3580</v>
      </c>
      <c r="E1625" s="5">
        <v>3360</v>
      </c>
      <c r="F1625" s="5">
        <v>3480</v>
      </c>
      <c r="G1625" s="5">
        <v>3480</v>
      </c>
      <c r="H1625" s="6">
        <v>393011500</v>
      </c>
      <c r="I1625" s="22" t="str">
        <f t="shared" si="161"/>
        <v>+</v>
      </c>
      <c r="J1625" s="7">
        <f t="shared" si="162"/>
        <v>0.28818443804034583</v>
      </c>
      <c r="K1625" s="7">
        <f t="shared" si="163"/>
        <v>-11.07142000531293</v>
      </c>
      <c r="L1625" s="2" t="str">
        <f t="shared" si="158"/>
        <v>Normal</v>
      </c>
      <c r="M1625" s="2" t="str">
        <f t="shared" si="159"/>
        <v>Normal</v>
      </c>
      <c r="N1625" s="2" t="str">
        <f t="shared" si="160"/>
        <v>No</v>
      </c>
    </row>
    <row r="1626" spans="1:14" x14ac:dyDescent="0.25">
      <c r="A1626" s="3">
        <v>45904</v>
      </c>
      <c r="B1626" s="4">
        <v>2025</v>
      </c>
      <c r="C1626" s="5">
        <v>3470</v>
      </c>
      <c r="D1626" s="5">
        <v>3470</v>
      </c>
      <c r="E1626" s="5">
        <v>3370</v>
      </c>
      <c r="F1626" s="5">
        <v>3390</v>
      </c>
      <c r="G1626" s="5">
        <v>3390</v>
      </c>
      <c r="H1626" s="6">
        <v>142473100</v>
      </c>
      <c r="I1626" s="22" t="str">
        <f t="shared" si="161"/>
        <v>-</v>
      </c>
      <c r="J1626" s="7">
        <f t="shared" si="162"/>
        <v>-2.5862068965517242</v>
      </c>
      <c r="K1626" s="7">
        <f t="shared" si="163"/>
        <v>-63.74836359750288</v>
      </c>
      <c r="L1626" s="2" t="str">
        <f t="shared" si="158"/>
        <v>Normal</v>
      </c>
      <c r="M1626" s="2" t="str">
        <f t="shared" si="159"/>
        <v>Sharp Volume Decrease</v>
      </c>
      <c r="N1626" s="2" t="str">
        <f t="shared" si="160"/>
        <v>No</v>
      </c>
    </row>
    <row r="1627" spans="1:14" x14ac:dyDescent="0.25">
      <c r="A1627" s="3">
        <v>45908</v>
      </c>
      <c r="B1627" s="4">
        <v>2025</v>
      </c>
      <c r="C1627" s="5">
        <v>3470</v>
      </c>
      <c r="D1627" s="5">
        <v>3710</v>
      </c>
      <c r="E1627" s="5">
        <v>3450</v>
      </c>
      <c r="F1627" s="5">
        <v>3610</v>
      </c>
      <c r="G1627" s="5">
        <v>3610</v>
      </c>
      <c r="H1627" s="6">
        <v>400454400</v>
      </c>
      <c r="I1627" s="22" t="str">
        <f t="shared" si="161"/>
        <v>+</v>
      </c>
      <c r="J1627" s="7">
        <f t="shared" si="162"/>
        <v>6.4896755162241888</v>
      </c>
      <c r="K1627" s="7">
        <f t="shared" si="163"/>
        <v>181.07369040190744</v>
      </c>
      <c r="L1627" s="2" t="str">
        <f t="shared" si="158"/>
        <v>Sharp Price Increase</v>
      </c>
      <c r="M1627" s="2" t="str">
        <f t="shared" si="159"/>
        <v>Sharp Volume Increase</v>
      </c>
      <c r="N1627" s="2" t="str">
        <f t="shared" si="160"/>
        <v>Yes</v>
      </c>
    </row>
    <row r="1628" spans="1:14" x14ac:dyDescent="0.25">
      <c r="A1628" s="3">
        <v>45909</v>
      </c>
      <c r="B1628" s="4">
        <v>2025</v>
      </c>
      <c r="C1628" s="5">
        <v>3680</v>
      </c>
      <c r="D1628" s="5">
        <v>3930</v>
      </c>
      <c r="E1628" s="5">
        <v>3590</v>
      </c>
      <c r="F1628" s="5">
        <v>3660</v>
      </c>
      <c r="G1628" s="5">
        <v>3660</v>
      </c>
      <c r="H1628" s="6">
        <v>514308300</v>
      </c>
      <c r="I1628" s="22" t="str">
        <f t="shared" si="161"/>
        <v>+</v>
      </c>
      <c r="J1628" s="7">
        <f t="shared" si="162"/>
        <v>1.3850415512465373</v>
      </c>
      <c r="K1628" s="7">
        <f t="shared" si="163"/>
        <v>28.431177182720429</v>
      </c>
      <c r="L1628" s="2" t="str">
        <f t="shared" si="158"/>
        <v>Normal</v>
      </c>
      <c r="M1628" s="2" t="str">
        <f t="shared" si="159"/>
        <v>Normal</v>
      </c>
      <c r="N1628" s="2" t="str">
        <f t="shared" si="160"/>
        <v>No</v>
      </c>
    </row>
    <row r="1629" spans="1:14" x14ac:dyDescent="0.25">
      <c r="A1629" s="3">
        <v>45910</v>
      </c>
      <c r="B1629" s="4">
        <v>2025</v>
      </c>
      <c r="C1629" s="5">
        <v>3580</v>
      </c>
      <c r="D1629" s="5">
        <v>3600</v>
      </c>
      <c r="E1629" s="5">
        <v>3470</v>
      </c>
      <c r="F1629" s="5">
        <v>3510</v>
      </c>
      <c r="G1629" s="5">
        <v>3510</v>
      </c>
      <c r="H1629" s="6">
        <v>192134400</v>
      </c>
      <c r="I1629" s="22" t="str">
        <f t="shared" si="161"/>
        <v>-</v>
      </c>
      <c r="J1629" s="7">
        <f t="shared" si="162"/>
        <v>-4.0983606557377046</v>
      </c>
      <c r="K1629" s="7">
        <f t="shared" si="163"/>
        <v>-62.642173964526727</v>
      </c>
      <c r="L1629" s="2" t="str">
        <f t="shared" si="158"/>
        <v>Normal</v>
      </c>
      <c r="M1629" s="2" t="str">
        <f t="shared" si="159"/>
        <v>Sharp Volume Decrease</v>
      </c>
      <c r="N1629" s="2" t="str">
        <f t="shared" si="160"/>
        <v>No</v>
      </c>
    </row>
    <row r="1630" spans="1:14" x14ac:dyDescent="0.25">
      <c r="A1630" s="3">
        <v>45911</v>
      </c>
      <c r="B1630" s="4">
        <v>2025</v>
      </c>
      <c r="C1630" s="5">
        <v>3520</v>
      </c>
      <c r="D1630" s="5">
        <v>3570</v>
      </c>
      <c r="E1630" s="5">
        <v>3380</v>
      </c>
      <c r="F1630" s="5">
        <v>3390</v>
      </c>
      <c r="G1630" s="5">
        <v>3390</v>
      </c>
      <c r="H1630" s="6">
        <v>174842200</v>
      </c>
      <c r="I1630" s="22" t="str">
        <f t="shared" si="161"/>
        <v>-</v>
      </c>
      <c r="J1630" s="7">
        <f t="shared" si="162"/>
        <v>-3.4188034188034191</v>
      </c>
      <c r="K1630" s="7">
        <f t="shared" si="163"/>
        <v>-9.0000541287765223</v>
      </c>
      <c r="L1630" s="2" t="str">
        <f t="shared" si="158"/>
        <v>Normal</v>
      </c>
      <c r="M1630" s="2" t="str">
        <f t="shared" si="159"/>
        <v>Normal</v>
      </c>
      <c r="N1630" s="2" t="str">
        <f t="shared" si="160"/>
        <v>No</v>
      </c>
    </row>
    <row r="1631" spans="1:14" x14ac:dyDescent="0.25">
      <c r="A1631" s="3">
        <v>45912</v>
      </c>
      <c r="B1631" s="4">
        <v>2025</v>
      </c>
      <c r="C1631" s="5">
        <v>3430</v>
      </c>
      <c r="D1631" s="5">
        <v>3520</v>
      </c>
      <c r="E1631" s="5">
        <v>3420</v>
      </c>
      <c r="F1631" s="5">
        <v>3490</v>
      </c>
      <c r="G1631" s="5">
        <v>3490</v>
      </c>
      <c r="H1631" s="6">
        <v>126314000</v>
      </c>
      <c r="I1631" s="22" t="str">
        <f t="shared" si="161"/>
        <v>+</v>
      </c>
      <c r="J1631" s="7">
        <f t="shared" si="162"/>
        <v>2.9498525073746311</v>
      </c>
      <c r="K1631" s="7">
        <f t="shared" si="163"/>
        <v>-27.755427465451703</v>
      </c>
      <c r="L1631" s="2" t="str">
        <f t="shared" si="158"/>
        <v>Normal</v>
      </c>
      <c r="M1631" s="2" t="str">
        <f t="shared" si="159"/>
        <v>Normal</v>
      </c>
      <c r="N1631" s="2" t="str">
        <f t="shared" si="160"/>
        <v>No</v>
      </c>
    </row>
    <row r="1632" spans="1:14" x14ac:dyDescent="0.25">
      <c r="A1632" s="3">
        <v>45915</v>
      </c>
      <c r="B1632" s="4">
        <v>2025</v>
      </c>
      <c r="C1632" s="5">
        <v>3490</v>
      </c>
      <c r="D1632" s="5">
        <v>3530</v>
      </c>
      <c r="E1632" s="5">
        <v>3430</v>
      </c>
      <c r="F1632" s="5">
        <v>3490</v>
      </c>
      <c r="G1632" s="5">
        <v>3490</v>
      </c>
      <c r="H1632" s="6">
        <v>104996600</v>
      </c>
      <c r="I1632" s="22" t="str">
        <f t="shared" si="161"/>
        <v>0</v>
      </c>
      <c r="J1632" s="7">
        <f t="shared" si="162"/>
        <v>0</v>
      </c>
      <c r="K1632" s="7">
        <f t="shared" si="163"/>
        <v>-16.876514083949523</v>
      </c>
      <c r="L1632" s="2" t="str">
        <f t="shared" si="158"/>
        <v>Normal</v>
      </c>
      <c r="M1632" s="2" t="str">
        <f t="shared" si="159"/>
        <v>Normal</v>
      </c>
      <c r="N1632" s="2" t="str">
        <f t="shared" si="160"/>
        <v>No</v>
      </c>
    </row>
    <row r="1633" spans="1:14" x14ac:dyDescent="0.25">
      <c r="A1633" s="3">
        <v>45916</v>
      </c>
      <c r="B1633" s="4">
        <v>2025</v>
      </c>
      <c r="C1633" s="5">
        <v>3550</v>
      </c>
      <c r="D1633" s="5">
        <v>3600</v>
      </c>
      <c r="E1633" s="5">
        <v>3500</v>
      </c>
      <c r="F1633" s="5">
        <v>3600</v>
      </c>
      <c r="G1633" s="5">
        <v>3600</v>
      </c>
      <c r="H1633" s="6">
        <v>150013900</v>
      </c>
      <c r="I1633" s="22" t="str">
        <f t="shared" si="161"/>
        <v>+</v>
      </c>
      <c r="J1633" s="7">
        <f t="shared" si="162"/>
        <v>3.151862464183381</v>
      </c>
      <c r="K1633" s="7">
        <f t="shared" si="163"/>
        <v>42.875007381191395</v>
      </c>
      <c r="L1633" s="2" t="str">
        <f t="shared" si="158"/>
        <v>Normal</v>
      </c>
      <c r="M1633" s="2" t="str">
        <f t="shared" si="159"/>
        <v>Normal</v>
      </c>
      <c r="N1633" s="2" t="str">
        <f t="shared" si="160"/>
        <v>No</v>
      </c>
    </row>
    <row r="1634" spans="1:14" x14ac:dyDescent="0.25">
      <c r="A1634" s="3">
        <v>45917</v>
      </c>
      <c r="B1634" s="4">
        <v>2025</v>
      </c>
      <c r="C1634" s="5">
        <v>3570</v>
      </c>
      <c r="D1634" s="5">
        <v>3580</v>
      </c>
      <c r="E1634" s="5">
        <v>3450</v>
      </c>
      <c r="F1634" s="5">
        <v>3460</v>
      </c>
      <c r="G1634" s="5">
        <v>3460</v>
      </c>
      <c r="H1634" s="6">
        <v>138761900</v>
      </c>
      <c r="I1634" s="22" t="str">
        <f t="shared" si="161"/>
        <v>-</v>
      </c>
      <c r="J1634" s="7">
        <f t="shared" si="162"/>
        <v>-3.8888888888888888</v>
      </c>
      <c r="K1634" s="7">
        <f t="shared" si="163"/>
        <v>-7.5006382741865929</v>
      </c>
      <c r="L1634" s="2" t="str">
        <f t="shared" si="158"/>
        <v>Normal</v>
      </c>
      <c r="M1634" s="2" t="str">
        <f t="shared" si="159"/>
        <v>Normal</v>
      </c>
      <c r="N1634" s="2" t="str">
        <f t="shared" si="160"/>
        <v>No</v>
      </c>
    </row>
    <row r="1635" spans="1:14" x14ac:dyDescent="0.25">
      <c r="A1635" s="3">
        <v>45918</v>
      </c>
      <c r="B1635" s="4">
        <v>2025</v>
      </c>
      <c r="C1635" s="5">
        <v>3490</v>
      </c>
      <c r="D1635" s="5">
        <v>3490</v>
      </c>
      <c r="E1635" s="5">
        <v>3400</v>
      </c>
      <c r="F1635" s="5">
        <v>3420</v>
      </c>
      <c r="G1635" s="5">
        <v>3420</v>
      </c>
      <c r="H1635" s="6">
        <v>117203300</v>
      </c>
      <c r="I1635" s="22" t="str">
        <f t="shared" si="161"/>
        <v>-</v>
      </c>
      <c r="J1635" s="7">
        <f t="shared" si="162"/>
        <v>-1.1560693641618496</v>
      </c>
      <c r="K1635" s="7">
        <f t="shared" si="163"/>
        <v>-15.53639723872331</v>
      </c>
      <c r="L1635" s="2" t="str">
        <f t="shared" si="158"/>
        <v>Normal</v>
      </c>
      <c r="M1635" s="2" t="str">
        <f t="shared" si="159"/>
        <v>Normal</v>
      </c>
      <c r="N1635" s="2" t="str">
        <f t="shared" si="160"/>
        <v>No</v>
      </c>
    </row>
    <row r="1636" spans="1:14" x14ac:dyDescent="0.25">
      <c r="A1636" s="3">
        <v>45919</v>
      </c>
      <c r="B1636" s="4">
        <v>2025</v>
      </c>
      <c r="C1636" s="5">
        <v>3420</v>
      </c>
      <c r="D1636" s="5">
        <v>3580</v>
      </c>
      <c r="E1636" s="5">
        <v>3420</v>
      </c>
      <c r="F1636" s="5">
        <v>3450</v>
      </c>
      <c r="G1636" s="5">
        <v>3450</v>
      </c>
      <c r="H1636" s="6">
        <v>164297600</v>
      </c>
      <c r="I1636" s="22" t="str">
        <f t="shared" si="161"/>
        <v>+</v>
      </c>
      <c r="J1636" s="7">
        <f t="shared" si="162"/>
        <v>0.8771929824561403</v>
      </c>
      <c r="K1636" s="7">
        <f t="shared" si="163"/>
        <v>40.181718432842764</v>
      </c>
      <c r="L1636" s="2" t="str">
        <f t="shared" si="158"/>
        <v>Normal</v>
      </c>
      <c r="M1636" s="2" t="str">
        <f t="shared" si="159"/>
        <v>Normal</v>
      </c>
      <c r="N1636" s="2" t="str">
        <f t="shared" si="160"/>
        <v>No</v>
      </c>
    </row>
    <row r="1637" spans="1:14" x14ac:dyDescent="0.25">
      <c r="A1637" s="3">
        <v>45922</v>
      </c>
      <c r="B1637" s="4">
        <v>2025</v>
      </c>
      <c r="C1637" s="5">
        <v>3520</v>
      </c>
      <c r="D1637" s="5">
        <v>3580</v>
      </c>
      <c r="E1637" s="5">
        <v>3500</v>
      </c>
      <c r="F1637" s="5">
        <v>3580</v>
      </c>
      <c r="G1637" s="5">
        <v>3580</v>
      </c>
      <c r="H1637" s="6">
        <v>128254500</v>
      </c>
      <c r="I1637" s="22" t="str">
        <f t="shared" si="161"/>
        <v>+</v>
      </c>
      <c r="J1637" s="7">
        <f t="shared" si="162"/>
        <v>3.7681159420289858</v>
      </c>
      <c r="K1637" s="7">
        <f t="shared" si="163"/>
        <v>-21.937691116607912</v>
      </c>
      <c r="L1637" s="2" t="str">
        <f t="shared" si="158"/>
        <v>Normal</v>
      </c>
      <c r="M1637" s="2" t="str">
        <f t="shared" si="159"/>
        <v>Normal</v>
      </c>
      <c r="N1637" s="2" t="str">
        <f t="shared" si="160"/>
        <v>No</v>
      </c>
    </row>
    <row r="1638" spans="1:14" x14ac:dyDescent="0.25">
      <c r="A1638" s="3">
        <v>45923</v>
      </c>
      <c r="B1638" s="4">
        <v>2025</v>
      </c>
      <c r="C1638" s="5">
        <v>3650</v>
      </c>
      <c r="D1638" s="5">
        <v>3730</v>
      </c>
      <c r="E1638" s="5">
        <v>3600</v>
      </c>
      <c r="F1638" s="5">
        <v>3670</v>
      </c>
      <c r="G1638" s="5">
        <v>3670</v>
      </c>
      <c r="H1638" s="6">
        <v>212809600</v>
      </c>
      <c r="I1638" s="22" t="str">
        <f t="shared" si="161"/>
        <v>+</v>
      </c>
      <c r="J1638" s="7">
        <f t="shared" si="162"/>
        <v>2.5139664804469275</v>
      </c>
      <c r="K1638" s="7">
        <f t="shared" si="163"/>
        <v>65.92758928536621</v>
      </c>
      <c r="L1638" s="2" t="str">
        <f t="shared" si="158"/>
        <v>Normal</v>
      </c>
      <c r="M1638" s="2" t="str">
        <f t="shared" si="159"/>
        <v>Normal</v>
      </c>
      <c r="N1638" s="2" t="str">
        <f t="shared" si="160"/>
        <v>No</v>
      </c>
    </row>
    <row r="1639" spans="1:14" x14ac:dyDescent="0.25">
      <c r="A1639" s="3">
        <v>45924</v>
      </c>
      <c r="B1639" s="4">
        <v>2025</v>
      </c>
      <c r="C1639" s="5">
        <v>3610</v>
      </c>
      <c r="D1639" s="5">
        <v>3620</v>
      </c>
      <c r="E1639" s="5">
        <v>3460</v>
      </c>
      <c r="F1639" s="5">
        <v>3470</v>
      </c>
      <c r="G1639" s="5">
        <v>3470</v>
      </c>
      <c r="H1639" s="6">
        <v>173507600</v>
      </c>
      <c r="I1639" s="22" t="str">
        <f t="shared" si="161"/>
        <v>-</v>
      </c>
      <c r="J1639" s="7">
        <f t="shared" si="162"/>
        <v>-5.4495912806539506</v>
      </c>
      <c r="K1639" s="7">
        <f t="shared" si="163"/>
        <v>-18.468151812700178</v>
      </c>
      <c r="L1639" s="2" t="str">
        <f t="shared" si="158"/>
        <v>Sharp Price Decrease</v>
      </c>
      <c r="M1639" s="2" t="str">
        <f t="shared" si="159"/>
        <v>Normal</v>
      </c>
      <c r="N1639" s="2" t="str">
        <f t="shared" si="160"/>
        <v>No</v>
      </c>
    </row>
    <row r="1640" spans="1:14" x14ac:dyDescent="0.25">
      <c r="A1640" s="3">
        <v>45925</v>
      </c>
      <c r="B1640" s="4">
        <v>2025</v>
      </c>
      <c r="C1640" s="5">
        <v>3350</v>
      </c>
      <c r="D1640" s="5">
        <v>3400</v>
      </c>
      <c r="E1640" s="5">
        <v>3150</v>
      </c>
      <c r="F1640" s="5">
        <v>3170</v>
      </c>
      <c r="G1640" s="5">
        <v>3170</v>
      </c>
      <c r="H1640" s="6">
        <v>400098200</v>
      </c>
      <c r="I1640" s="22" t="str">
        <f t="shared" si="161"/>
        <v>-</v>
      </c>
      <c r="J1640" s="7">
        <f t="shared" si="162"/>
        <v>-8.6455331412103753</v>
      </c>
      <c r="K1640" s="7">
        <f t="shared" si="163"/>
        <v>130.59404890621508</v>
      </c>
      <c r="L1640" s="2" t="str">
        <f t="shared" si="158"/>
        <v>Sharp Price Decrease</v>
      </c>
      <c r="M1640" s="2" t="str">
        <f t="shared" si="159"/>
        <v>Normal</v>
      </c>
      <c r="N1640" s="2" t="str">
        <f t="shared" si="160"/>
        <v>No</v>
      </c>
    </row>
    <row r="1641" spans="1:14" x14ac:dyDescent="0.25">
      <c r="A1641" s="3">
        <v>45926</v>
      </c>
      <c r="B1641" s="4">
        <v>2025</v>
      </c>
      <c r="C1641" s="5">
        <v>3180</v>
      </c>
      <c r="D1641" s="5">
        <v>3220</v>
      </c>
      <c r="E1641" s="5">
        <v>3110</v>
      </c>
      <c r="F1641" s="5">
        <v>3210</v>
      </c>
      <c r="G1641" s="5">
        <v>3210</v>
      </c>
      <c r="H1641" s="6">
        <v>164732500</v>
      </c>
      <c r="I1641" s="22" t="str">
        <f t="shared" si="161"/>
        <v>+</v>
      </c>
      <c r="J1641" s="7">
        <f t="shared" si="162"/>
        <v>1.2618296529968454</v>
      </c>
      <c r="K1641" s="7">
        <f t="shared" si="163"/>
        <v>-58.826982975679478</v>
      </c>
      <c r="L1641" s="2" t="str">
        <f t="shared" si="158"/>
        <v>Normal</v>
      </c>
      <c r="M1641" s="2" t="str">
        <f t="shared" si="159"/>
        <v>Sharp Volume Decrease</v>
      </c>
      <c r="N1641" s="2" t="str">
        <f t="shared" si="160"/>
        <v>No</v>
      </c>
    </row>
    <row r="1642" spans="1:14" x14ac:dyDescent="0.25">
      <c r="A1642" s="3">
        <v>45929</v>
      </c>
      <c r="B1642" s="4">
        <v>2025</v>
      </c>
      <c r="C1642" s="5">
        <v>3250</v>
      </c>
      <c r="D1642" s="5">
        <v>3330</v>
      </c>
      <c r="E1642" s="5">
        <v>3220</v>
      </c>
      <c r="F1642" s="5">
        <v>3300</v>
      </c>
      <c r="G1642" s="5">
        <v>3300</v>
      </c>
      <c r="H1642" s="6">
        <v>148733800</v>
      </c>
      <c r="I1642" s="22" t="str">
        <f t="shared" si="161"/>
        <v>+</v>
      </c>
      <c r="J1642" s="7">
        <f t="shared" si="162"/>
        <v>2.8037383177570092</v>
      </c>
      <c r="K1642" s="7">
        <f t="shared" si="163"/>
        <v>-9.7119269118115739</v>
      </c>
      <c r="L1642" s="2" t="str">
        <f t="shared" si="158"/>
        <v>Normal</v>
      </c>
      <c r="M1642" s="2" t="str">
        <f t="shared" si="159"/>
        <v>Normal</v>
      </c>
      <c r="N1642" s="2" t="str">
        <f t="shared" si="160"/>
        <v>No</v>
      </c>
    </row>
    <row r="1643" spans="1:14" x14ac:dyDescent="0.25">
      <c r="A1643" s="3">
        <v>45930</v>
      </c>
      <c r="B1643" s="4">
        <v>2025</v>
      </c>
      <c r="C1643" s="5">
        <v>3340</v>
      </c>
      <c r="D1643" s="5">
        <v>3350</v>
      </c>
      <c r="E1643" s="5">
        <v>3150</v>
      </c>
      <c r="F1643" s="5">
        <v>3160</v>
      </c>
      <c r="G1643" s="5">
        <v>3160</v>
      </c>
      <c r="H1643" s="6">
        <v>209921800</v>
      </c>
      <c r="I1643" s="22" t="str">
        <f t="shared" si="161"/>
        <v>-</v>
      </c>
      <c r="J1643" s="7">
        <f t="shared" si="162"/>
        <v>-4.2424242424242431</v>
      </c>
      <c r="K1643" s="7">
        <f t="shared" si="163"/>
        <v>41.139270293638702</v>
      </c>
      <c r="L1643" s="2" t="str">
        <f t="shared" si="158"/>
        <v>Normal</v>
      </c>
      <c r="M1643" s="2" t="str">
        <f t="shared" si="159"/>
        <v>Normal</v>
      </c>
      <c r="N1643" s="2" t="str">
        <f t="shared" si="160"/>
        <v>No</v>
      </c>
    </row>
    <row r="1644" spans="1:14" x14ac:dyDescent="0.25">
      <c r="A1644" s="3">
        <v>45931</v>
      </c>
      <c r="B1644" s="4">
        <v>2025</v>
      </c>
      <c r="C1644" s="5">
        <v>3200</v>
      </c>
      <c r="D1644" s="5">
        <v>3230</v>
      </c>
      <c r="E1644" s="5">
        <v>3160</v>
      </c>
      <c r="F1644" s="5">
        <v>3210</v>
      </c>
      <c r="G1644" s="5">
        <v>3210</v>
      </c>
      <c r="H1644" s="6">
        <v>125660700</v>
      </c>
      <c r="I1644" s="22" t="str">
        <f t="shared" si="161"/>
        <v>+</v>
      </c>
      <c r="J1644" s="7">
        <f t="shared" si="162"/>
        <v>1.5822784810126582</v>
      </c>
      <c r="K1644" s="7">
        <f t="shared" si="163"/>
        <v>-40.139280436810274</v>
      </c>
      <c r="L1644" s="2" t="str">
        <f t="shared" si="158"/>
        <v>Normal</v>
      </c>
      <c r="M1644" s="2" t="str">
        <f t="shared" si="159"/>
        <v>Normal</v>
      </c>
      <c r="N1644" s="2" t="str">
        <f t="shared" si="160"/>
        <v>No</v>
      </c>
    </row>
    <row r="1645" spans="1:14" x14ac:dyDescent="0.25">
      <c r="A1645" s="3">
        <v>45932</v>
      </c>
      <c r="B1645" s="4">
        <v>2025</v>
      </c>
      <c r="C1645" s="5">
        <v>3190</v>
      </c>
      <c r="D1645" s="5">
        <v>3200</v>
      </c>
      <c r="E1645" s="5">
        <v>3100</v>
      </c>
      <c r="F1645" s="5">
        <v>3110</v>
      </c>
      <c r="G1645" s="5">
        <v>3110</v>
      </c>
      <c r="H1645" s="6">
        <v>133099000</v>
      </c>
      <c r="I1645" s="22" t="str">
        <f t="shared" si="161"/>
        <v>-</v>
      </c>
      <c r="J1645" s="7">
        <f t="shared" si="162"/>
        <v>-3.1152647975077881</v>
      </c>
      <c r="K1645" s="7">
        <f t="shared" si="163"/>
        <v>5.9193526695299328</v>
      </c>
      <c r="L1645" s="2" t="str">
        <f t="shared" si="158"/>
        <v>Normal</v>
      </c>
      <c r="M1645" s="2" t="str">
        <f t="shared" si="159"/>
        <v>Normal</v>
      </c>
      <c r="N1645" s="2" t="str">
        <f t="shared" si="160"/>
        <v>No</v>
      </c>
    </row>
    <row r="1646" spans="1:14" x14ac:dyDescent="0.25">
      <c r="A1646" s="3">
        <v>45933</v>
      </c>
      <c r="B1646" s="4">
        <v>2025</v>
      </c>
      <c r="C1646" s="5">
        <v>3120</v>
      </c>
      <c r="D1646" s="5">
        <v>3220</v>
      </c>
      <c r="E1646" s="5">
        <v>3110</v>
      </c>
      <c r="F1646" s="5">
        <v>3200</v>
      </c>
      <c r="G1646" s="5">
        <v>3200</v>
      </c>
      <c r="H1646" s="6">
        <v>98382600</v>
      </c>
      <c r="I1646" s="22" t="str">
        <f t="shared" si="161"/>
        <v>+</v>
      </c>
      <c r="J1646" s="7">
        <f t="shared" si="162"/>
        <v>2.8938906752411575</v>
      </c>
      <c r="K1646" s="7">
        <f t="shared" si="163"/>
        <v>-26.083141120519315</v>
      </c>
      <c r="L1646" s="2" t="str">
        <f t="shared" si="158"/>
        <v>Normal</v>
      </c>
      <c r="M1646" s="2" t="str">
        <f t="shared" si="159"/>
        <v>Normal</v>
      </c>
      <c r="N1646" s="2" t="str">
        <f t="shared" si="160"/>
        <v>No</v>
      </c>
    </row>
    <row r="1647" spans="1:14" x14ac:dyDescent="0.25">
      <c r="A1647" s="3">
        <v>45936</v>
      </c>
      <c r="B1647" s="4">
        <v>2025</v>
      </c>
      <c r="C1647" s="5">
        <v>3260</v>
      </c>
      <c r="D1647" s="5">
        <v>3300</v>
      </c>
      <c r="E1647" s="5">
        <v>3180</v>
      </c>
      <c r="F1647" s="5">
        <v>3190</v>
      </c>
      <c r="G1647" s="5">
        <v>3190</v>
      </c>
      <c r="H1647" s="6">
        <v>111584900</v>
      </c>
      <c r="I1647" s="22" t="str">
        <f t="shared" si="161"/>
        <v>-</v>
      </c>
      <c r="J1647" s="7">
        <f t="shared" si="162"/>
        <v>-0.3125</v>
      </c>
      <c r="K1647" s="7">
        <f t="shared" si="163"/>
        <v>13.419344477580387</v>
      </c>
      <c r="L1647" s="2" t="str">
        <f t="shared" si="158"/>
        <v>Normal</v>
      </c>
      <c r="M1647" s="2" t="str">
        <f t="shared" si="159"/>
        <v>Normal</v>
      </c>
      <c r="N1647" s="2" t="str">
        <f t="shared" si="160"/>
        <v>No</v>
      </c>
    </row>
    <row r="1648" spans="1:14" x14ac:dyDescent="0.25">
      <c r="A1648" s="3">
        <v>45937</v>
      </c>
      <c r="B1648" s="4">
        <v>2025</v>
      </c>
      <c r="C1648" s="5">
        <v>3220</v>
      </c>
      <c r="D1648" s="5">
        <v>3250</v>
      </c>
      <c r="E1648" s="5">
        <v>3130</v>
      </c>
      <c r="F1648" s="5">
        <v>3140</v>
      </c>
      <c r="G1648" s="5">
        <v>3140</v>
      </c>
      <c r="H1648" s="6">
        <v>114789800</v>
      </c>
      <c r="I1648" s="22" t="str">
        <f t="shared" si="161"/>
        <v>-</v>
      </c>
      <c r="J1648" s="7">
        <f t="shared" si="162"/>
        <v>-1.5673981191222568</v>
      </c>
      <c r="K1648" s="7">
        <f t="shared" si="163"/>
        <v>2.8721628105594932</v>
      </c>
      <c r="L1648" s="2" t="str">
        <f t="shared" si="158"/>
        <v>Normal</v>
      </c>
      <c r="M1648" s="2" t="str">
        <f t="shared" si="159"/>
        <v>Normal</v>
      </c>
      <c r="N1648" s="2" t="str">
        <f t="shared" si="160"/>
        <v>No</v>
      </c>
    </row>
    <row r="1649" spans="1:14" x14ac:dyDescent="0.25">
      <c r="A1649" s="3">
        <v>45938</v>
      </c>
      <c r="B1649" s="4">
        <v>2025</v>
      </c>
      <c r="C1649" s="5">
        <v>3170</v>
      </c>
      <c r="D1649" s="5">
        <v>3380</v>
      </c>
      <c r="E1649" s="5">
        <v>3150</v>
      </c>
      <c r="F1649" s="5">
        <v>3330</v>
      </c>
      <c r="G1649" s="5">
        <v>3330</v>
      </c>
      <c r="H1649" s="6">
        <v>303472900</v>
      </c>
      <c r="I1649" s="22" t="str">
        <f t="shared" si="161"/>
        <v>+</v>
      </c>
      <c r="J1649" s="7">
        <f t="shared" si="162"/>
        <v>6.0509554140127388</v>
      </c>
      <c r="K1649" s="7">
        <f t="shared" si="163"/>
        <v>164.37270558882409</v>
      </c>
      <c r="L1649" s="2" t="str">
        <f t="shared" si="158"/>
        <v>Sharp Price Increase</v>
      </c>
      <c r="M1649" s="2" t="str">
        <f t="shared" si="159"/>
        <v>Normal</v>
      </c>
      <c r="N1649" s="2" t="str">
        <f t="shared" si="160"/>
        <v>No</v>
      </c>
    </row>
    <row r="1650" spans="1:14" x14ac:dyDescent="0.25">
      <c r="A1650" s="3">
        <v>45939</v>
      </c>
      <c r="B1650" s="4">
        <v>2025</v>
      </c>
      <c r="C1650" s="5">
        <v>3340</v>
      </c>
      <c r="D1650" s="5">
        <v>3350</v>
      </c>
      <c r="E1650" s="5">
        <v>3190</v>
      </c>
      <c r="F1650" s="5">
        <v>3220</v>
      </c>
      <c r="G1650" s="5">
        <v>3220</v>
      </c>
      <c r="H1650" s="6">
        <v>173139700</v>
      </c>
      <c r="I1650" s="22" t="str">
        <f t="shared" si="161"/>
        <v>-</v>
      </c>
      <c r="J1650" s="7">
        <f t="shared" si="162"/>
        <v>-3.303303303303303</v>
      </c>
      <c r="K1650" s="7">
        <f t="shared" si="163"/>
        <v>-42.947228566372814</v>
      </c>
      <c r="L1650" s="2" t="str">
        <f t="shared" si="158"/>
        <v>Normal</v>
      </c>
      <c r="M1650" s="2" t="str">
        <f t="shared" si="159"/>
        <v>Normal</v>
      </c>
      <c r="N1650" s="2" t="str">
        <f t="shared" si="160"/>
        <v>No</v>
      </c>
    </row>
    <row r="1651" spans="1:14" x14ac:dyDescent="0.25">
      <c r="A1651" s="3">
        <v>45940</v>
      </c>
      <c r="B1651" s="4">
        <v>2025</v>
      </c>
      <c r="C1651" s="5">
        <v>3200</v>
      </c>
      <c r="D1651" s="5">
        <v>3340</v>
      </c>
      <c r="E1651" s="5">
        <v>3190</v>
      </c>
      <c r="F1651" s="5">
        <v>3310</v>
      </c>
      <c r="G1651" s="5">
        <v>3310</v>
      </c>
      <c r="H1651" s="6">
        <v>127536400</v>
      </c>
      <c r="I1651" s="22" t="str">
        <f t="shared" si="161"/>
        <v>+</v>
      </c>
      <c r="J1651" s="7">
        <f t="shared" si="162"/>
        <v>2.7950310559006213</v>
      </c>
      <c r="K1651" s="7">
        <f t="shared" si="163"/>
        <v>-26.339019878167747</v>
      </c>
      <c r="L1651" s="2" t="str">
        <f t="shared" si="158"/>
        <v>Normal</v>
      </c>
      <c r="M1651" s="2" t="str">
        <f t="shared" si="159"/>
        <v>Normal</v>
      </c>
      <c r="N1651" s="2" t="str">
        <f t="shared" si="160"/>
        <v>No</v>
      </c>
    </row>
    <row r="1652" spans="1:14" x14ac:dyDescent="0.25">
      <c r="A1652" s="3">
        <v>45943</v>
      </c>
      <c r="B1652" s="4">
        <v>2025</v>
      </c>
      <c r="C1652" s="5">
        <v>3310</v>
      </c>
      <c r="D1652" s="5">
        <v>3430</v>
      </c>
      <c r="E1652" s="5">
        <v>3290</v>
      </c>
      <c r="F1652" s="5">
        <v>3370</v>
      </c>
      <c r="G1652" s="5">
        <v>3370</v>
      </c>
      <c r="H1652" s="6">
        <v>199311000</v>
      </c>
      <c r="I1652" s="22" t="str">
        <f t="shared" si="161"/>
        <v>+</v>
      </c>
      <c r="J1652" s="7">
        <f t="shared" si="162"/>
        <v>1.8126888217522661</v>
      </c>
      <c r="K1652" s="7">
        <f t="shared" si="163"/>
        <v>56.277737179346445</v>
      </c>
      <c r="L1652" s="2" t="str">
        <f t="shared" si="158"/>
        <v>Normal</v>
      </c>
      <c r="M1652" s="2" t="str">
        <f t="shared" si="159"/>
        <v>Normal</v>
      </c>
      <c r="N1652" s="2" t="str">
        <f t="shared" si="160"/>
        <v>No</v>
      </c>
    </row>
    <row r="1653" spans="1:14" x14ac:dyDescent="0.25">
      <c r="A1653" s="3">
        <v>45944</v>
      </c>
      <c r="B1653" s="4">
        <v>2025</v>
      </c>
      <c r="C1653" s="5">
        <v>3440</v>
      </c>
      <c r="D1653" s="5">
        <v>3500</v>
      </c>
      <c r="E1653" s="5">
        <v>3230</v>
      </c>
      <c r="F1653" s="5">
        <v>3350</v>
      </c>
      <c r="G1653" s="5">
        <v>3350</v>
      </c>
      <c r="H1653" s="6">
        <v>322581200</v>
      </c>
      <c r="I1653" s="22" t="str">
        <f t="shared" si="161"/>
        <v>-</v>
      </c>
      <c r="J1653" s="7">
        <f t="shared" si="162"/>
        <v>-0.59347181008902083</v>
      </c>
      <c r="K1653" s="7">
        <f t="shared" si="163"/>
        <v>61.848166935091385</v>
      </c>
      <c r="L1653" s="2" t="str">
        <f t="shared" si="158"/>
        <v>Normal</v>
      </c>
      <c r="M1653" s="2" t="str">
        <f t="shared" si="159"/>
        <v>Normal</v>
      </c>
      <c r="N1653" s="2" t="str">
        <f t="shared" si="160"/>
        <v>No</v>
      </c>
    </row>
    <row r="1654" spans="1:14" x14ac:dyDescent="0.25">
      <c r="A1654" s="3">
        <v>45945</v>
      </c>
      <c r="B1654" s="4">
        <v>2025</v>
      </c>
      <c r="C1654" s="5">
        <v>3410</v>
      </c>
      <c r="D1654" s="5">
        <v>3460</v>
      </c>
      <c r="E1654" s="5">
        <v>3310</v>
      </c>
      <c r="F1654" s="5">
        <v>3400</v>
      </c>
      <c r="G1654" s="5">
        <v>3400</v>
      </c>
      <c r="H1654" s="6">
        <v>198843300</v>
      </c>
      <c r="I1654" s="22" t="str">
        <f t="shared" si="161"/>
        <v>+</v>
      </c>
      <c r="J1654" s="7">
        <f t="shared" si="162"/>
        <v>1.4925373134328357</v>
      </c>
      <c r="K1654" s="7">
        <f t="shared" si="163"/>
        <v>-38.358683023065197</v>
      </c>
      <c r="L1654" s="2" t="str">
        <f t="shared" si="158"/>
        <v>Normal</v>
      </c>
      <c r="M1654" s="2" t="str">
        <f t="shared" si="159"/>
        <v>Normal</v>
      </c>
      <c r="N1654" s="2" t="str">
        <f t="shared" si="160"/>
        <v>No</v>
      </c>
    </row>
    <row r="1655" spans="1:14" x14ac:dyDescent="0.25">
      <c r="A1655" s="3">
        <v>45946</v>
      </c>
      <c r="B1655" s="4">
        <v>2025</v>
      </c>
      <c r="C1655" s="5">
        <v>3450</v>
      </c>
      <c r="D1655" s="5">
        <v>3540</v>
      </c>
      <c r="E1655" s="5">
        <v>3400</v>
      </c>
      <c r="F1655" s="5">
        <v>3430</v>
      </c>
      <c r="G1655" s="5">
        <v>3430</v>
      </c>
      <c r="H1655" s="6">
        <v>256647500</v>
      </c>
      <c r="I1655" s="22" t="str">
        <f t="shared" si="161"/>
        <v>+</v>
      </c>
      <c r="J1655" s="7">
        <f t="shared" si="162"/>
        <v>0.88235294117647056</v>
      </c>
      <c r="K1655" s="7">
        <f t="shared" si="163"/>
        <v>29.070227661681336</v>
      </c>
      <c r="L1655" s="2" t="str">
        <f t="shared" si="158"/>
        <v>Normal</v>
      </c>
      <c r="M1655" s="2" t="str">
        <f t="shared" si="159"/>
        <v>Normal</v>
      </c>
      <c r="N1655" s="2" t="str">
        <f t="shared" si="160"/>
        <v>No</v>
      </c>
    </row>
    <row r="1656" spans="1:14" x14ac:dyDescent="0.25">
      <c r="A1656" s="3">
        <v>45947</v>
      </c>
      <c r="B1656" s="4">
        <v>2025</v>
      </c>
      <c r="C1656" s="5">
        <v>3470</v>
      </c>
      <c r="D1656" s="5">
        <v>3530</v>
      </c>
      <c r="E1656" s="5">
        <v>3370</v>
      </c>
      <c r="F1656" s="5">
        <v>3450</v>
      </c>
      <c r="G1656" s="5">
        <v>3450</v>
      </c>
      <c r="H1656" s="6">
        <v>216427700</v>
      </c>
      <c r="I1656" s="22" t="str">
        <f t="shared" si="161"/>
        <v>+</v>
      </c>
      <c r="J1656" s="7">
        <f t="shared" si="162"/>
        <v>0.58309037900874638</v>
      </c>
      <c r="K1656" s="7">
        <f t="shared" si="163"/>
        <v>-15.671222201657917</v>
      </c>
      <c r="L1656" s="2" t="str">
        <f t="shared" si="158"/>
        <v>Normal</v>
      </c>
      <c r="M1656" s="2" t="str">
        <f t="shared" si="159"/>
        <v>Normal</v>
      </c>
      <c r="N1656" s="2" t="str">
        <f t="shared" si="160"/>
        <v>No</v>
      </c>
    </row>
    <row r="1657" spans="1:14" x14ac:dyDescent="0.25">
      <c r="A1657" s="3">
        <v>45950</v>
      </c>
      <c r="B1657" s="4">
        <v>2025</v>
      </c>
      <c r="C1657" s="5">
        <v>3450</v>
      </c>
      <c r="D1657" s="5">
        <v>3450</v>
      </c>
      <c r="E1657" s="5">
        <v>3270</v>
      </c>
      <c r="F1657" s="5">
        <v>3270</v>
      </c>
      <c r="G1657" s="5">
        <v>3270</v>
      </c>
      <c r="H1657" s="6">
        <v>160783200</v>
      </c>
      <c r="I1657" s="22" t="str">
        <f t="shared" si="161"/>
        <v>-</v>
      </c>
      <c r="J1657" s="7">
        <f t="shared" si="162"/>
        <v>-5.2173913043478262</v>
      </c>
      <c r="K1657" s="7">
        <f t="shared" si="163"/>
        <v>-25.71043355356084</v>
      </c>
      <c r="L1657" s="2" t="str">
        <f t="shared" si="158"/>
        <v>Sharp Price Decrease</v>
      </c>
      <c r="M1657" s="2" t="str">
        <f t="shared" si="159"/>
        <v>Normal</v>
      </c>
      <c r="N1657" s="2" t="str">
        <f t="shared" si="160"/>
        <v>No</v>
      </c>
    </row>
    <row r="1658" spans="1:14" x14ac:dyDescent="0.25">
      <c r="A1658" s="3">
        <v>45951</v>
      </c>
      <c r="B1658" s="4">
        <v>2025</v>
      </c>
      <c r="C1658" s="5">
        <v>3340</v>
      </c>
      <c r="D1658" s="5">
        <v>3350</v>
      </c>
      <c r="E1658" s="5">
        <v>3270</v>
      </c>
      <c r="F1658" s="5">
        <v>3290</v>
      </c>
      <c r="G1658" s="5">
        <v>3290</v>
      </c>
      <c r="H1658" s="6">
        <v>96567900</v>
      </c>
      <c r="I1658" s="22" t="str">
        <f t="shared" si="161"/>
        <v>+</v>
      </c>
      <c r="J1658" s="7">
        <f t="shared" si="162"/>
        <v>0.6116207951070336</v>
      </c>
      <c r="K1658" s="7">
        <f t="shared" si="163"/>
        <v>-39.939060797396742</v>
      </c>
      <c r="L1658" s="2" t="str">
        <f t="shared" si="158"/>
        <v>Normal</v>
      </c>
      <c r="M1658" s="2" t="str">
        <f t="shared" si="159"/>
        <v>Normal</v>
      </c>
      <c r="N1658" s="2" t="str">
        <f t="shared" si="160"/>
        <v>No</v>
      </c>
    </row>
    <row r="1659" spans="1:14" x14ac:dyDescent="0.25">
      <c r="A1659" s="3">
        <v>45952</v>
      </c>
      <c r="B1659" s="4">
        <v>2025</v>
      </c>
      <c r="C1659" s="5">
        <v>3150</v>
      </c>
      <c r="D1659" s="5">
        <v>3230</v>
      </c>
      <c r="E1659" s="5">
        <v>3120</v>
      </c>
      <c r="F1659" s="5">
        <v>3170</v>
      </c>
      <c r="G1659" s="5">
        <v>3170</v>
      </c>
      <c r="H1659" s="6">
        <v>114865300</v>
      </c>
      <c r="I1659" s="22" t="str">
        <f t="shared" si="161"/>
        <v>-</v>
      </c>
      <c r="J1659" s="7">
        <f t="shared" si="162"/>
        <v>-3.6474164133738598</v>
      </c>
      <c r="K1659" s="7">
        <f t="shared" si="163"/>
        <v>18.947704154279009</v>
      </c>
      <c r="L1659" s="2" t="str">
        <f t="shared" si="158"/>
        <v>Normal</v>
      </c>
      <c r="M1659" s="2" t="str">
        <f t="shared" si="159"/>
        <v>Normal</v>
      </c>
      <c r="N1659" s="2" t="str">
        <f t="shared" si="160"/>
        <v>No</v>
      </c>
    </row>
    <row r="1660" spans="1:14" x14ac:dyDescent="0.25">
      <c r="A1660" s="3">
        <v>45953</v>
      </c>
      <c r="B1660" s="4">
        <v>2025</v>
      </c>
      <c r="C1660" s="5">
        <v>3180</v>
      </c>
      <c r="D1660" s="5">
        <v>3210</v>
      </c>
      <c r="E1660" s="5">
        <v>3170</v>
      </c>
      <c r="F1660" s="5">
        <v>3190</v>
      </c>
      <c r="G1660" s="5">
        <v>3190</v>
      </c>
      <c r="H1660" s="6">
        <v>66747300</v>
      </c>
      <c r="I1660" s="22" t="str">
        <f t="shared" si="161"/>
        <v>+</v>
      </c>
      <c r="J1660" s="7">
        <f t="shared" si="162"/>
        <v>0.63091482649842268</v>
      </c>
      <c r="K1660" s="7">
        <f t="shared" si="163"/>
        <v>-41.890806013652515</v>
      </c>
      <c r="L1660" s="2" t="str">
        <f t="shared" si="158"/>
        <v>Normal</v>
      </c>
      <c r="M1660" s="2" t="str">
        <f t="shared" si="159"/>
        <v>Normal</v>
      </c>
      <c r="N1660" s="2" t="str">
        <f t="shared" si="160"/>
        <v>No</v>
      </c>
    </row>
    <row r="1661" spans="1:14" x14ac:dyDescent="0.25">
      <c r="A1661" s="3">
        <v>45954</v>
      </c>
      <c r="B1661" s="4">
        <v>2025</v>
      </c>
      <c r="C1661" s="5">
        <v>3190</v>
      </c>
      <c r="D1661" s="5">
        <v>3210</v>
      </c>
      <c r="E1661" s="5">
        <v>3120</v>
      </c>
      <c r="F1661" s="5">
        <v>3130</v>
      </c>
      <c r="G1661" s="5">
        <v>3130</v>
      </c>
      <c r="H1661" s="6">
        <v>84454900</v>
      </c>
      <c r="I1661" s="22" t="str">
        <f t="shared" si="161"/>
        <v>-</v>
      </c>
      <c r="J1661" s="7">
        <f t="shared" si="162"/>
        <v>-1.8808777429467085</v>
      </c>
      <c r="K1661" s="7">
        <f t="shared" si="163"/>
        <v>26.529312796173027</v>
      </c>
      <c r="L1661" s="2" t="str">
        <f t="shared" si="158"/>
        <v>Normal</v>
      </c>
      <c r="M1661" s="2" t="str">
        <f t="shared" si="159"/>
        <v>Normal</v>
      </c>
      <c r="N1661" s="2" t="str">
        <f t="shared" si="160"/>
        <v>No</v>
      </c>
    </row>
    <row r="1662" spans="1:14" x14ac:dyDescent="0.25">
      <c r="A1662" s="3">
        <v>45957</v>
      </c>
      <c r="B1662" s="4">
        <v>2025</v>
      </c>
      <c r="C1662" s="5">
        <v>3150</v>
      </c>
      <c r="D1662" s="5">
        <v>3210</v>
      </c>
      <c r="E1662" s="5">
        <v>3100</v>
      </c>
      <c r="F1662" s="5">
        <v>3150</v>
      </c>
      <c r="G1662" s="5">
        <v>3150</v>
      </c>
      <c r="H1662" s="6">
        <v>84512600</v>
      </c>
      <c r="I1662" s="22" t="str">
        <f t="shared" si="161"/>
        <v>+</v>
      </c>
      <c r="J1662" s="7">
        <f t="shared" si="162"/>
        <v>0.63897763578274758</v>
      </c>
      <c r="K1662" s="7">
        <f t="shared" si="163"/>
        <v>6.8320488213235706E-2</v>
      </c>
      <c r="L1662" s="2" t="str">
        <f t="shared" si="158"/>
        <v>Normal</v>
      </c>
      <c r="M1662" s="2" t="str">
        <f t="shared" si="159"/>
        <v>Normal</v>
      </c>
      <c r="N1662" s="2" t="str">
        <f t="shared" si="160"/>
        <v>No</v>
      </c>
    </row>
    <row r="1663" spans="1:14" x14ac:dyDescent="0.25">
      <c r="A1663" s="3">
        <v>45958</v>
      </c>
      <c r="B1663" s="4">
        <v>2025</v>
      </c>
      <c r="C1663" s="5">
        <v>3120</v>
      </c>
      <c r="D1663" s="5">
        <v>3130</v>
      </c>
      <c r="E1663" s="5">
        <v>3020</v>
      </c>
      <c r="F1663" s="5">
        <v>3100</v>
      </c>
      <c r="G1663" s="5">
        <v>3100</v>
      </c>
      <c r="H1663" s="6">
        <v>101193900</v>
      </c>
      <c r="I1663" s="22" t="str">
        <f t="shared" si="161"/>
        <v>-</v>
      </c>
      <c r="J1663" s="7">
        <f t="shared" si="162"/>
        <v>-1.5873015873015872</v>
      </c>
      <c r="K1663" s="7">
        <f t="shared" si="163"/>
        <v>19.738240215068522</v>
      </c>
      <c r="L1663" s="2" t="str">
        <f t="shared" si="158"/>
        <v>Normal</v>
      </c>
      <c r="M1663" s="2" t="str">
        <f t="shared" si="159"/>
        <v>Normal</v>
      </c>
      <c r="N1663" s="2" t="str">
        <f t="shared" si="160"/>
        <v>No</v>
      </c>
    </row>
    <row r="1664" spans="1:14" x14ac:dyDescent="0.25">
      <c r="A1664" s="3">
        <v>45959</v>
      </c>
      <c r="B1664" s="4">
        <v>2025</v>
      </c>
      <c r="C1664" s="5">
        <v>3110</v>
      </c>
      <c r="D1664" s="5">
        <v>3220</v>
      </c>
      <c r="E1664" s="5">
        <v>3110</v>
      </c>
      <c r="F1664" s="5">
        <v>3200</v>
      </c>
      <c r="G1664" s="5">
        <v>3200</v>
      </c>
      <c r="H1664" s="6">
        <v>91690700</v>
      </c>
      <c r="I1664" s="22" t="str">
        <f t="shared" si="161"/>
        <v>+</v>
      </c>
      <c r="J1664" s="7">
        <f t="shared" si="162"/>
        <v>3.225806451612903</v>
      </c>
      <c r="K1664" s="7">
        <f t="shared" si="163"/>
        <v>-9.3910798971084226</v>
      </c>
      <c r="L1664" s="2" t="str">
        <f t="shared" si="158"/>
        <v>Normal</v>
      </c>
      <c r="M1664" s="2" t="str">
        <f t="shared" si="159"/>
        <v>Normal</v>
      </c>
      <c r="N1664" s="2" t="str">
        <f t="shared" si="160"/>
        <v>No</v>
      </c>
    </row>
    <row r="1665" spans="1:14" x14ac:dyDescent="0.25">
      <c r="A1665" s="3">
        <v>45960</v>
      </c>
      <c r="B1665" s="4">
        <v>2025</v>
      </c>
      <c r="C1665" s="5">
        <v>3200</v>
      </c>
      <c r="D1665" s="5">
        <v>3210</v>
      </c>
      <c r="E1665" s="5">
        <v>3120</v>
      </c>
      <c r="F1665" s="5">
        <v>3120</v>
      </c>
      <c r="G1665" s="5">
        <v>3120</v>
      </c>
      <c r="H1665" s="6">
        <v>93691300</v>
      </c>
      <c r="I1665" s="22" t="str">
        <f t="shared" si="161"/>
        <v>-</v>
      </c>
      <c r="J1665" s="7">
        <f t="shared" si="162"/>
        <v>-2.5</v>
      </c>
      <c r="K1665" s="7">
        <f t="shared" si="163"/>
        <v>2.1819006725872963</v>
      </c>
      <c r="L1665" s="2" t="str">
        <f t="shared" si="158"/>
        <v>Normal</v>
      </c>
      <c r="M1665" s="2" t="str">
        <f t="shared" si="159"/>
        <v>Normal</v>
      </c>
      <c r="N1665" s="2" t="str">
        <f t="shared" si="160"/>
        <v>No</v>
      </c>
    </row>
    <row r="1666" spans="1:14" x14ac:dyDescent="0.25">
      <c r="A1666" s="3">
        <v>45961</v>
      </c>
      <c r="B1666" s="4">
        <v>2025</v>
      </c>
      <c r="C1666" s="5">
        <v>3160</v>
      </c>
      <c r="D1666" s="5">
        <v>3180</v>
      </c>
      <c r="E1666" s="5">
        <v>3100</v>
      </c>
      <c r="F1666" s="5">
        <v>3100</v>
      </c>
      <c r="G1666" s="5">
        <v>3100</v>
      </c>
      <c r="H1666" s="6">
        <v>92327900</v>
      </c>
      <c r="I1666" s="22" t="str">
        <f t="shared" si="161"/>
        <v>-</v>
      </c>
      <c r="J1666" s="7">
        <f t="shared" si="162"/>
        <v>-0.64102564102564097</v>
      </c>
      <c r="K1666" s="7">
        <f t="shared" si="163"/>
        <v>-1.4552044853684387</v>
      </c>
      <c r="L1666" s="2" t="str">
        <f t="shared" si="158"/>
        <v>Normal</v>
      </c>
      <c r="M1666" s="2" t="str">
        <f t="shared" si="159"/>
        <v>Normal</v>
      </c>
      <c r="N1666" s="2" t="str">
        <f t="shared" si="160"/>
        <v>No</v>
      </c>
    </row>
    <row r="1667" spans="1:14" x14ac:dyDescent="0.25">
      <c r="A1667" s="3">
        <v>45964</v>
      </c>
      <c r="B1667" s="4">
        <v>2025</v>
      </c>
      <c r="C1667" s="5">
        <v>3100</v>
      </c>
      <c r="D1667" s="5">
        <v>3130</v>
      </c>
      <c r="E1667" s="5">
        <v>3080</v>
      </c>
      <c r="F1667" s="5">
        <v>3110</v>
      </c>
      <c r="G1667" s="5">
        <v>3110</v>
      </c>
      <c r="H1667" s="6">
        <v>56974500</v>
      </c>
      <c r="I1667" s="22" t="str">
        <f t="shared" si="161"/>
        <v>+</v>
      </c>
      <c r="J1667" s="7">
        <f t="shared" si="162"/>
        <v>0.32258064516129031</v>
      </c>
      <c r="K1667" s="7">
        <f t="shared" si="163"/>
        <v>-38.291134099226774</v>
      </c>
      <c r="L1667" s="2" t="str">
        <f t="shared" ref="L1667:L1706" si="164">IFERROR(IF(OR(J1667="",ISBLANK(J1667)),"Normal",IF(J1667&lt;=$U$6,"Sharp Price Decrease",IF(J1667&gt;=$U$7,"Sharp Price Increase","Normal"))),"Normal")</f>
        <v>Normal</v>
      </c>
      <c r="M1667" s="2" t="str">
        <f t="shared" ref="M1667:M1706" si="165">IFERROR(IF(OR(K1667="",ISBLANK(K1667)),"Normal",IF(K1667&lt;=$U$8,"Sharp Volume Decrease",IF(K1667&gt;=$U$9,"Sharp Volume Increase","Normal"))),"Normal")</f>
        <v>Normal</v>
      </c>
      <c r="N1667" s="2" t="str">
        <f t="shared" ref="N1667:N1706" si="166">IFERROR(IF(AND(OR(L1667="Sharp Price Increase",L1667="Sharp Price Decrease"),OR(M1667="Sharp Volume Increase",M1667="Sharp Volume Decrease")),"Yes","No"),"No")</f>
        <v>No</v>
      </c>
    </row>
    <row r="1668" spans="1:14" x14ac:dyDescent="0.25">
      <c r="A1668" s="3">
        <v>45965</v>
      </c>
      <c r="B1668" s="4">
        <v>2025</v>
      </c>
      <c r="C1668" s="5">
        <v>3110</v>
      </c>
      <c r="D1668" s="5">
        <v>3110</v>
      </c>
      <c r="E1668" s="5">
        <v>2960</v>
      </c>
      <c r="F1668" s="5">
        <v>2960</v>
      </c>
      <c r="G1668" s="5">
        <v>2960</v>
      </c>
      <c r="H1668" s="6">
        <v>173682100</v>
      </c>
      <c r="I1668" s="22" t="str">
        <f t="shared" ref="I1668:I1706" si="167">IFERROR(IF(OR(F1667="",F1668=""),"",IF(F1668-F1667&lt;0,"-",IF(F1668-F1667&gt;0,"+","0"))),"")</f>
        <v>-</v>
      </c>
      <c r="J1668" s="7">
        <f>(F1668-F1667)/F1667*100</f>
        <v>-4.823151125401929</v>
      </c>
      <c r="K1668" s="7">
        <f>(H1668-H1667)/H1667*100</f>
        <v>204.84181519802718</v>
      </c>
      <c r="L1668" s="2" t="str">
        <f t="shared" si="164"/>
        <v>Sharp Price Decrease</v>
      </c>
      <c r="M1668" s="2" t="str">
        <f t="shared" si="165"/>
        <v>Sharp Volume Increase</v>
      </c>
      <c r="N1668" s="2" t="str">
        <f t="shared" si="166"/>
        <v>Yes</v>
      </c>
    </row>
    <row r="1669" spans="1:14" x14ac:dyDescent="0.25">
      <c r="A1669" s="3">
        <v>45966</v>
      </c>
      <c r="B1669" s="4">
        <v>2025</v>
      </c>
      <c r="C1669" s="5">
        <v>2950</v>
      </c>
      <c r="D1669" s="5">
        <v>3000</v>
      </c>
      <c r="E1669" s="5">
        <v>2910</v>
      </c>
      <c r="F1669" s="5">
        <v>2980</v>
      </c>
      <c r="G1669" s="5">
        <v>2980</v>
      </c>
      <c r="H1669" s="6">
        <v>115174300</v>
      </c>
      <c r="I1669" s="22" t="str">
        <f t="shared" si="167"/>
        <v>+</v>
      </c>
      <c r="J1669" s="7">
        <f>(F1669-F1668)/F1668*100</f>
        <v>0.67567567567567566</v>
      </c>
      <c r="K1669" s="7">
        <f>(H1669-H1668)/H1668*100</f>
        <v>-33.68671843557857</v>
      </c>
      <c r="L1669" s="2" t="str">
        <f t="shared" si="164"/>
        <v>Normal</v>
      </c>
      <c r="M1669" s="2" t="str">
        <f t="shared" si="165"/>
        <v>Normal</v>
      </c>
      <c r="N1669" s="2" t="str">
        <f t="shared" si="166"/>
        <v>No</v>
      </c>
    </row>
    <row r="1670" spans="1:14" x14ac:dyDescent="0.25">
      <c r="A1670" s="3">
        <v>45967</v>
      </c>
      <c r="B1670" s="4">
        <v>2025</v>
      </c>
      <c r="C1670" s="5">
        <v>2980</v>
      </c>
      <c r="D1670" s="5">
        <v>2980</v>
      </c>
      <c r="E1670" s="5">
        <v>2920</v>
      </c>
      <c r="F1670" s="5">
        <v>2930</v>
      </c>
      <c r="G1670" s="5">
        <v>2930</v>
      </c>
      <c r="H1670" s="6">
        <v>73006600</v>
      </c>
      <c r="I1670" s="22" t="str">
        <f t="shared" si="167"/>
        <v>-</v>
      </c>
      <c r="J1670" s="7">
        <f>(F1670-F1669)/F1669*100</f>
        <v>-1.6778523489932886</v>
      </c>
      <c r="K1670" s="7">
        <f>(H1670-H1669)/H1669*100</f>
        <v>-36.61207404776934</v>
      </c>
      <c r="L1670" s="2" t="str">
        <f t="shared" si="164"/>
        <v>Normal</v>
      </c>
      <c r="M1670" s="2" t="str">
        <f t="shared" si="165"/>
        <v>Normal</v>
      </c>
      <c r="N1670" s="2" t="str">
        <f t="shared" si="166"/>
        <v>No</v>
      </c>
    </row>
    <row r="1671" spans="1:14" x14ac:dyDescent="0.25">
      <c r="A1671" s="3">
        <v>45968</v>
      </c>
      <c r="B1671" s="4">
        <v>2025</v>
      </c>
      <c r="C1671" s="5">
        <v>2930</v>
      </c>
      <c r="D1671" s="5">
        <v>2940</v>
      </c>
      <c r="E1671" s="5">
        <v>2900</v>
      </c>
      <c r="F1671" s="5">
        <v>2900</v>
      </c>
      <c r="G1671" s="5">
        <v>2900</v>
      </c>
      <c r="H1671" s="6">
        <v>91022900</v>
      </c>
      <c r="I1671" s="22" t="str">
        <f t="shared" si="167"/>
        <v>-</v>
      </c>
      <c r="J1671" s="7">
        <f>(F1671-F1670)/F1670*100</f>
        <v>-1.0238907849829351</v>
      </c>
      <c r="K1671" s="7">
        <f>(H1671-H1670)/H1670*100</f>
        <v>24.677631885336393</v>
      </c>
      <c r="L1671" s="2" t="str">
        <f t="shared" si="164"/>
        <v>Normal</v>
      </c>
      <c r="M1671" s="2" t="str">
        <f t="shared" si="165"/>
        <v>Normal</v>
      </c>
      <c r="N1671" s="2" t="str">
        <f t="shared" si="166"/>
        <v>No</v>
      </c>
    </row>
    <row r="1672" spans="1:14" x14ac:dyDescent="0.25">
      <c r="A1672" s="3">
        <v>45971</v>
      </c>
      <c r="B1672" s="4">
        <v>2025</v>
      </c>
      <c r="C1672" s="5">
        <v>2930</v>
      </c>
      <c r="D1672" s="5">
        <v>2960</v>
      </c>
      <c r="E1672" s="5">
        <v>2870</v>
      </c>
      <c r="F1672" s="5">
        <v>2910</v>
      </c>
      <c r="G1672" s="5">
        <v>2910</v>
      </c>
      <c r="H1672" s="6">
        <v>156986000</v>
      </c>
      <c r="I1672" s="22" t="str">
        <f t="shared" si="167"/>
        <v>+</v>
      </c>
      <c r="J1672" s="7">
        <f>(F1672-F1671)/F1671*100</f>
        <v>0.34482758620689657</v>
      </c>
      <c r="K1672" s="7">
        <f>(H1672-H1671)/H1671*100</f>
        <v>72.468686451431452</v>
      </c>
      <c r="L1672" s="2" t="str">
        <f t="shared" si="164"/>
        <v>Normal</v>
      </c>
      <c r="M1672" s="2" t="str">
        <f t="shared" si="165"/>
        <v>Normal</v>
      </c>
      <c r="N1672" s="2" t="str">
        <f t="shared" si="166"/>
        <v>No</v>
      </c>
    </row>
    <row r="1673" spans="1:14" x14ac:dyDescent="0.25">
      <c r="A1673" s="3">
        <v>45972</v>
      </c>
      <c r="B1673" s="4">
        <v>2025</v>
      </c>
      <c r="C1673" s="5">
        <v>2940</v>
      </c>
      <c r="D1673" s="5">
        <v>2960</v>
      </c>
      <c r="E1673" s="5">
        <v>2880</v>
      </c>
      <c r="F1673" s="5">
        <v>2880</v>
      </c>
      <c r="G1673" s="5">
        <v>2880</v>
      </c>
      <c r="H1673" s="6">
        <v>102211800</v>
      </c>
      <c r="I1673" s="22" t="str">
        <f t="shared" si="167"/>
        <v>-</v>
      </c>
      <c r="J1673" s="7">
        <f>(F1673-F1672)/F1672*100</f>
        <v>-1.0309278350515463</v>
      </c>
      <c r="K1673" s="7">
        <f>(H1673-H1672)/H1672*100</f>
        <v>-34.891136789267833</v>
      </c>
      <c r="L1673" s="2" t="str">
        <f t="shared" si="164"/>
        <v>Normal</v>
      </c>
      <c r="M1673" s="2" t="str">
        <f t="shared" si="165"/>
        <v>Normal</v>
      </c>
      <c r="N1673" s="2" t="str">
        <f t="shared" si="166"/>
        <v>No</v>
      </c>
    </row>
    <row r="1674" spans="1:14" x14ac:dyDescent="0.25">
      <c r="A1674" s="3">
        <v>45973</v>
      </c>
      <c r="B1674" s="4">
        <v>2025</v>
      </c>
      <c r="C1674" s="5">
        <v>2900</v>
      </c>
      <c r="D1674" s="5">
        <v>2910</v>
      </c>
      <c r="E1674" s="5">
        <v>2860</v>
      </c>
      <c r="F1674" s="5">
        <v>2880</v>
      </c>
      <c r="G1674" s="5">
        <v>2880</v>
      </c>
      <c r="H1674" s="6">
        <v>70551600</v>
      </c>
      <c r="I1674" s="22" t="str">
        <f t="shared" si="167"/>
        <v>0</v>
      </c>
      <c r="J1674" s="7">
        <f>(F1674-F1673)/F1673*100</f>
        <v>0</v>
      </c>
      <c r="K1674" s="7">
        <f>(H1674-H1673)/H1673*100</f>
        <v>-30.97509289534085</v>
      </c>
      <c r="L1674" s="2" t="str">
        <f t="shared" si="164"/>
        <v>Normal</v>
      </c>
      <c r="M1674" s="2" t="str">
        <f t="shared" si="165"/>
        <v>Normal</v>
      </c>
      <c r="N1674" s="2" t="str">
        <f t="shared" si="166"/>
        <v>No</v>
      </c>
    </row>
    <row r="1675" spans="1:14" x14ac:dyDescent="0.25">
      <c r="A1675" s="3">
        <v>45974</v>
      </c>
      <c r="B1675" s="4">
        <v>2025</v>
      </c>
      <c r="C1675" s="5">
        <v>2910</v>
      </c>
      <c r="D1675" s="5">
        <v>2920</v>
      </c>
      <c r="E1675" s="5">
        <v>2880</v>
      </c>
      <c r="F1675" s="5">
        <v>2890</v>
      </c>
      <c r="G1675" s="5">
        <v>2890</v>
      </c>
      <c r="H1675" s="6">
        <v>69463700</v>
      </c>
      <c r="I1675" s="22" t="str">
        <f t="shared" si="167"/>
        <v>+</v>
      </c>
      <c r="J1675" s="7">
        <f>(F1675-F1674)/F1674*100</f>
        <v>0.34722222222222221</v>
      </c>
      <c r="K1675" s="7">
        <f>(H1675-H1674)/H1674*100</f>
        <v>-1.5419919604941632</v>
      </c>
      <c r="L1675" s="2" t="str">
        <f t="shared" si="164"/>
        <v>Normal</v>
      </c>
      <c r="M1675" s="2" t="str">
        <f t="shared" si="165"/>
        <v>Normal</v>
      </c>
      <c r="N1675" s="2" t="str">
        <f t="shared" si="166"/>
        <v>No</v>
      </c>
    </row>
    <row r="1676" spans="1:14" x14ac:dyDescent="0.25">
      <c r="A1676" s="3">
        <v>45975</v>
      </c>
      <c r="B1676" s="4">
        <v>2025</v>
      </c>
      <c r="C1676" s="5">
        <v>2900</v>
      </c>
      <c r="D1676" s="5">
        <v>3060</v>
      </c>
      <c r="E1676" s="5">
        <v>2860</v>
      </c>
      <c r="F1676" s="5">
        <v>3040</v>
      </c>
      <c r="G1676" s="5">
        <v>3040</v>
      </c>
      <c r="H1676" s="6">
        <v>247808900</v>
      </c>
      <c r="I1676" s="22" t="str">
        <f t="shared" si="167"/>
        <v>+</v>
      </c>
      <c r="J1676" s="7">
        <f>(F1676-F1675)/F1675*100</f>
        <v>5.1903114186851207</v>
      </c>
      <c r="K1676" s="7">
        <f>(H1676-H1675)/H1675*100</f>
        <v>256.74589749754188</v>
      </c>
      <c r="L1676" s="2" t="str">
        <f t="shared" si="164"/>
        <v>Normal</v>
      </c>
      <c r="M1676" s="2" t="str">
        <f t="shared" si="165"/>
        <v>Sharp Volume Increase</v>
      </c>
      <c r="N1676" s="2" t="str">
        <f t="shared" si="166"/>
        <v>No</v>
      </c>
    </row>
    <row r="1677" spans="1:14" x14ac:dyDescent="0.25">
      <c r="A1677" s="3">
        <v>45978</v>
      </c>
      <c r="B1677" s="4">
        <v>2025</v>
      </c>
      <c r="C1677" s="5">
        <v>3040</v>
      </c>
      <c r="D1677" s="5">
        <v>3130</v>
      </c>
      <c r="E1677" s="5">
        <v>2960</v>
      </c>
      <c r="F1677" s="5">
        <v>3060</v>
      </c>
      <c r="G1677" s="5">
        <v>3060</v>
      </c>
      <c r="H1677" s="6">
        <v>258066200</v>
      </c>
      <c r="I1677" s="22" t="str">
        <f t="shared" si="167"/>
        <v>+</v>
      </c>
      <c r="J1677" s="7">
        <f>(F1677-F1676)/F1676*100</f>
        <v>0.6578947368421052</v>
      </c>
      <c r="K1677" s="7">
        <f>(H1677-H1676)/H1676*100</f>
        <v>4.1391975832990662</v>
      </c>
      <c r="L1677" s="2" t="str">
        <f t="shared" si="164"/>
        <v>Normal</v>
      </c>
      <c r="M1677" s="2" t="str">
        <f t="shared" si="165"/>
        <v>Normal</v>
      </c>
      <c r="N1677" s="2" t="str">
        <f t="shared" si="166"/>
        <v>No</v>
      </c>
    </row>
    <row r="1678" spans="1:14" x14ac:dyDescent="0.25">
      <c r="A1678" s="3">
        <v>45979</v>
      </c>
      <c r="B1678" s="4">
        <v>2025</v>
      </c>
      <c r="C1678" s="5">
        <v>3060</v>
      </c>
      <c r="D1678" s="5">
        <v>3100</v>
      </c>
      <c r="E1678" s="5">
        <v>3010</v>
      </c>
      <c r="F1678" s="5">
        <v>3010</v>
      </c>
      <c r="G1678" s="5">
        <v>3010</v>
      </c>
      <c r="H1678" s="6">
        <v>160550100</v>
      </c>
      <c r="I1678" s="22" t="str">
        <f t="shared" si="167"/>
        <v>-</v>
      </c>
      <c r="J1678" s="7">
        <f>(F1678-F1677)/F1677*100</f>
        <v>-1.6339869281045754</v>
      </c>
      <c r="K1678" s="7">
        <f>(H1678-H1677)/H1677*100</f>
        <v>-37.787242188244726</v>
      </c>
      <c r="L1678" s="2" t="str">
        <f t="shared" si="164"/>
        <v>Normal</v>
      </c>
      <c r="M1678" s="2" t="str">
        <f t="shared" si="165"/>
        <v>Normal</v>
      </c>
      <c r="N1678" s="2" t="str">
        <f t="shared" si="166"/>
        <v>No</v>
      </c>
    </row>
    <row r="1679" spans="1:14" x14ac:dyDescent="0.25">
      <c r="A1679" s="3">
        <v>45980</v>
      </c>
      <c r="B1679" s="4">
        <v>2025</v>
      </c>
      <c r="C1679" s="5">
        <v>3010</v>
      </c>
      <c r="D1679" s="5">
        <v>3050</v>
      </c>
      <c r="E1679" s="5">
        <v>3000</v>
      </c>
      <c r="F1679" s="5">
        <v>3000</v>
      </c>
      <c r="G1679" s="5">
        <v>3000</v>
      </c>
      <c r="H1679" s="6">
        <v>72939900</v>
      </c>
      <c r="I1679" s="22" t="str">
        <f t="shared" si="167"/>
        <v>-</v>
      </c>
      <c r="J1679" s="7">
        <f>(F1679-F1678)/F1678*100</f>
        <v>-0.33222591362126247</v>
      </c>
      <c r="K1679" s="7">
        <f>(H1679-H1678)/H1678*100</f>
        <v>-54.568760779345517</v>
      </c>
      <c r="L1679" s="2" t="str">
        <f t="shared" si="164"/>
        <v>Normal</v>
      </c>
      <c r="M1679" s="2" t="str">
        <f t="shared" si="165"/>
        <v>Normal</v>
      </c>
      <c r="N1679" s="2" t="str">
        <f t="shared" si="166"/>
        <v>No</v>
      </c>
    </row>
    <row r="1680" spans="1:14" x14ac:dyDescent="0.25">
      <c r="A1680" s="3">
        <v>45981</v>
      </c>
      <c r="B1680" s="4">
        <v>2025</v>
      </c>
      <c r="C1680" s="5">
        <v>3010</v>
      </c>
      <c r="D1680" s="5">
        <v>3030</v>
      </c>
      <c r="E1680" s="5">
        <v>2980</v>
      </c>
      <c r="F1680" s="5">
        <v>2980</v>
      </c>
      <c r="G1680" s="5">
        <v>2980</v>
      </c>
      <c r="H1680" s="6">
        <v>60338300</v>
      </c>
      <c r="I1680" s="22" t="str">
        <f t="shared" si="167"/>
        <v>-</v>
      </c>
      <c r="J1680" s="7">
        <f>(F1680-F1679)/F1679*100</f>
        <v>-0.66666666666666674</v>
      </c>
      <c r="K1680" s="7">
        <f>(H1680-H1679)/H1679*100</f>
        <v>-17.276689438839373</v>
      </c>
      <c r="L1680" s="2" t="str">
        <f t="shared" si="164"/>
        <v>Normal</v>
      </c>
      <c r="M1680" s="2" t="str">
        <f t="shared" si="165"/>
        <v>Normal</v>
      </c>
      <c r="N1680" s="2" t="str">
        <f t="shared" si="166"/>
        <v>No</v>
      </c>
    </row>
    <row r="1681" spans="1:14" x14ac:dyDescent="0.25">
      <c r="A1681" s="3">
        <v>45982</v>
      </c>
      <c r="B1681" s="4">
        <v>2025</v>
      </c>
      <c r="C1681" s="5">
        <v>2980</v>
      </c>
      <c r="D1681" s="5">
        <v>2990</v>
      </c>
      <c r="E1681" s="5">
        <v>2910</v>
      </c>
      <c r="F1681" s="5">
        <v>2910</v>
      </c>
      <c r="G1681" s="5">
        <v>2910</v>
      </c>
      <c r="H1681" s="6">
        <v>70438500</v>
      </c>
      <c r="I1681" s="22" t="str">
        <f t="shared" si="167"/>
        <v>-</v>
      </c>
      <c r="J1681" s="7">
        <f>(F1681-F1680)/F1680*100</f>
        <v>-2.348993288590604</v>
      </c>
      <c r="K1681" s="7">
        <f>(H1681-H1680)/H1680*100</f>
        <v>16.739284998085793</v>
      </c>
      <c r="L1681" s="2" t="str">
        <f t="shared" si="164"/>
        <v>Normal</v>
      </c>
      <c r="M1681" s="2" t="str">
        <f t="shared" si="165"/>
        <v>Normal</v>
      </c>
      <c r="N1681" s="2" t="str">
        <f t="shared" si="166"/>
        <v>No</v>
      </c>
    </row>
    <row r="1682" spans="1:14" x14ac:dyDescent="0.25">
      <c r="A1682" s="3">
        <v>45985</v>
      </c>
      <c r="B1682" s="4">
        <v>2025</v>
      </c>
      <c r="C1682" s="5">
        <v>2940</v>
      </c>
      <c r="D1682" s="5">
        <v>2970</v>
      </c>
      <c r="E1682" s="5">
        <v>2890</v>
      </c>
      <c r="F1682" s="5">
        <v>2930</v>
      </c>
      <c r="G1682" s="5">
        <v>2930</v>
      </c>
      <c r="H1682" s="6">
        <v>77562700</v>
      </c>
      <c r="I1682" s="22" t="str">
        <f t="shared" si="167"/>
        <v>+</v>
      </c>
      <c r="J1682" s="7">
        <f>(F1682-F1681)/F1681*100</f>
        <v>0.6872852233676976</v>
      </c>
      <c r="K1682" s="7">
        <f>(H1682-H1681)/H1681*100</f>
        <v>10.114071140072546</v>
      </c>
      <c r="L1682" s="2" t="str">
        <f t="shared" si="164"/>
        <v>Normal</v>
      </c>
      <c r="M1682" s="2" t="str">
        <f t="shared" si="165"/>
        <v>Normal</v>
      </c>
      <c r="N1682" s="2" t="str">
        <f t="shared" si="166"/>
        <v>No</v>
      </c>
    </row>
    <row r="1683" spans="1:14" x14ac:dyDescent="0.25">
      <c r="A1683" s="3">
        <v>45986</v>
      </c>
      <c r="B1683" s="4">
        <v>2025</v>
      </c>
      <c r="C1683" s="5">
        <v>2960</v>
      </c>
      <c r="D1683" s="5">
        <v>3050</v>
      </c>
      <c r="E1683" s="5">
        <v>2930</v>
      </c>
      <c r="F1683" s="5">
        <v>3000</v>
      </c>
      <c r="G1683" s="5">
        <v>3000</v>
      </c>
      <c r="H1683" s="6">
        <v>96478900</v>
      </c>
      <c r="I1683" s="22" t="str">
        <f t="shared" si="167"/>
        <v>+</v>
      </c>
      <c r="J1683" s="7">
        <f>(F1683-F1682)/F1682*100</f>
        <v>2.3890784982935154</v>
      </c>
      <c r="K1683" s="7">
        <f>(H1683-H1682)/H1682*100</f>
        <v>24.38826910357685</v>
      </c>
      <c r="L1683" s="2" t="str">
        <f t="shared" si="164"/>
        <v>Normal</v>
      </c>
      <c r="M1683" s="2" t="str">
        <f t="shared" si="165"/>
        <v>Normal</v>
      </c>
      <c r="N1683" s="2" t="str">
        <f t="shared" si="166"/>
        <v>No</v>
      </c>
    </row>
    <row r="1684" spans="1:14" x14ac:dyDescent="0.25">
      <c r="A1684" s="3">
        <v>45987</v>
      </c>
      <c r="B1684" s="4">
        <v>2025</v>
      </c>
      <c r="C1684" s="5">
        <v>3020</v>
      </c>
      <c r="D1684" s="5">
        <v>3070</v>
      </c>
      <c r="E1684" s="5">
        <v>2980</v>
      </c>
      <c r="F1684" s="5">
        <v>3030</v>
      </c>
      <c r="G1684" s="5">
        <v>3030</v>
      </c>
      <c r="H1684" s="6">
        <v>115088600</v>
      </c>
      <c r="I1684" s="22" t="str">
        <f t="shared" si="167"/>
        <v>+</v>
      </c>
      <c r="J1684" s="7">
        <f>(F1684-F1683)/F1683*100</f>
        <v>1</v>
      </c>
      <c r="K1684" s="7">
        <f>(H1684-H1683)/H1683*100</f>
        <v>19.28888078118635</v>
      </c>
      <c r="L1684" s="2" t="str">
        <f t="shared" si="164"/>
        <v>Normal</v>
      </c>
      <c r="M1684" s="2" t="str">
        <f t="shared" si="165"/>
        <v>Normal</v>
      </c>
      <c r="N1684" s="2" t="str">
        <f t="shared" si="166"/>
        <v>No</v>
      </c>
    </row>
    <row r="1685" spans="1:14" x14ac:dyDescent="0.25">
      <c r="A1685" s="3">
        <v>45988</v>
      </c>
      <c r="B1685" s="4">
        <v>2025</v>
      </c>
      <c r="C1685" s="5">
        <v>3040</v>
      </c>
      <c r="D1685" s="5">
        <v>3060</v>
      </c>
      <c r="E1685" s="5">
        <v>3000</v>
      </c>
      <c r="F1685" s="5">
        <v>3000</v>
      </c>
      <c r="G1685" s="5">
        <v>3000</v>
      </c>
      <c r="H1685" s="6">
        <v>59437500</v>
      </c>
      <c r="I1685" s="22" t="str">
        <f t="shared" si="167"/>
        <v>-</v>
      </c>
      <c r="J1685" s="7">
        <f>(F1685-F1684)/F1684*100</f>
        <v>-0.99009900990099009</v>
      </c>
      <c r="K1685" s="7">
        <f>(H1685-H1684)/H1684*100</f>
        <v>-48.355006490651547</v>
      </c>
      <c r="L1685" s="2" t="str">
        <f t="shared" si="164"/>
        <v>Normal</v>
      </c>
      <c r="M1685" s="2" t="str">
        <f t="shared" si="165"/>
        <v>Normal</v>
      </c>
      <c r="N1685" s="2" t="str">
        <f t="shared" si="166"/>
        <v>No</v>
      </c>
    </row>
    <row r="1686" spans="1:14" x14ac:dyDescent="0.25">
      <c r="A1686" s="3">
        <v>45989</v>
      </c>
      <c r="B1686" s="4">
        <v>2025</v>
      </c>
      <c r="C1686" s="5">
        <v>3010</v>
      </c>
      <c r="D1686" s="5">
        <v>3030</v>
      </c>
      <c r="E1686" s="5">
        <v>2900</v>
      </c>
      <c r="F1686" s="5">
        <v>2910</v>
      </c>
      <c r="G1686" s="5">
        <v>2910</v>
      </c>
      <c r="H1686" s="6">
        <v>131327000</v>
      </c>
      <c r="I1686" s="22" t="str">
        <f t="shared" si="167"/>
        <v>-</v>
      </c>
      <c r="J1686" s="7">
        <f>(F1686-F1685)/F1685*100</f>
        <v>-3</v>
      </c>
      <c r="K1686" s="7">
        <f>(H1686-H1685)/H1685*100</f>
        <v>120.94973711882228</v>
      </c>
      <c r="L1686" s="2" t="str">
        <f t="shared" si="164"/>
        <v>Normal</v>
      </c>
      <c r="M1686" s="2" t="str">
        <f t="shared" si="165"/>
        <v>Normal</v>
      </c>
      <c r="N1686" s="2" t="str">
        <f t="shared" si="166"/>
        <v>No</v>
      </c>
    </row>
    <row r="1687" spans="1:14" x14ac:dyDescent="0.25">
      <c r="A1687" s="3">
        <v>45992</v>
      </c>
      <c r="B1687" s="4">
        <v>2025</v>
      </c>
      <c r="C1687" s="5">
        <v>2940</v>
      </c>
      <c r="D1687" s="5">
        <v>3020</v>
      </c>
      <c r="E1687" s="5">
        <v>2940</v>
      </c>
      <c r="F1687" s="5">
        <v>2990</v>
      </c>
      <c r="G1687" s="5">
        <v>2990</v>
      </c>
      <c r="H1687" s="6">
        <v>66998800</v>
      </c>
      <c r="I1687" s="22" t="str">
        <f t="shared" si="167"/>
        <v>+</v>
      </c>
      <c r="J1687" s="7">
        <f>(F1687-F1686)/F1686*100</f>
        <v>2.7491408934707904</v>
      </c>
      <c r="K1687" s="7">
        <f>(H1687-H1686)/H1686*100</f>
        <v>-48.983225079381995</v>
      </c>
      <c r="L1687" s="2" t="str">
        <f t="shared" si="164"/>
        <v>Normal</v>
      </c>
      <c r="M1687" s="2" t="str">
        <f t="shared" si="165"/>
        <v>Normal</v>
      </c>
      <c r="N1687" s="2" t="str">
        <f t="shared" si="166"/>
        <v>No</v>
      </c>
    </row>
    <row r="1688" spans="1:14" x14ac:dyDescent="0.25">
      <c r="A1688" s="3">
        <v>45993</v>
      </c>
      <c r="B1688" s="4">
        <v>2025</v>
      </c>
      <c r="C1688" s="5">
        <v>2990</v>
      </c>
      <c r="D1688" s="5">
        <v>3000</v>
      </c>
      <c r="E1688" s="5">
        <v>2950</v>
      </c>
      <c r="F1688" s="5">
        <v>2980</v>
      </c>
      <c r="G1688" s="5">
        <v>2980</v>
      </c>
      <c r="H1688" s="6">
        <v>62836100</v>
      </c>
      <c r="I1688" s="22" t="str">
        <f t="shared" si="167"/>
        <v>-</v>
      </c>
      <c r="J1688" s="7">
        <f>(F1688-F1687)/F1687*100</f>
        <v>-0.33444816053511706</v>
      </c>
      <c r="K1688" s="7">
        <f>(H1688-H1687)/H1687*100</f>
        <v>-6.2130963539645485</v>
      </c>
      <c r="L1688" s="2" t="str">
        <f t="shared" si="164"/>
        <v>Normal</v>
      </c>
      <c r="M1688" s="2" t="str">
        <f t="shared" si="165"/>
        <v>Normal</v>
      </c>
      <c r="N1688" s="2" t="str">
        <f t="shared" si="166"/>
        <v>No</v>
      </c>
    </row>
    <row r="1689" spans="1:14" x14ac:dyDescent="0.25">
      <c r="A1689" s="3">
        <v>45994</v>
      </c>
      <c r="B1689" s="4">
        <v>2025</v>
      </c>
      <c r="C1689" s="5">
        <v>2990</v>
      </c>
      <c r="D1689" s="5">
        <v>3000</v>
      </c>
      <c r="E1689" s="5">
        <v>2920</v>
      </c>
      <c r="F1689" s="5">
        <v>2920</v>
      </c>
      <c r="G1689" s="5">
        <v>2920</v>
      </c>
      <c r="H1689" s="6">
        <v>64422400</v>
      </c>
      <c r="I1689" s="22" t="str">
        <f t="shared" si="167"/>
        <v>-</v>
      </c>
      <c r="J1689" s="7">
        <f>(F1689-F1688)/F1688*100</f>
        <v>-2.0134228187919461</v>
      </c>
      <c r="K1689" s="7">
        <f>(H1689-H1688)/H1688*100</f>
        <v>2.5245042260738653</v>
      </c>
      <c r="L1689" s="2" t="str">
        <f t="shared" si="164"/>
        <v>Normal</v>
      </c>
      <c r="M1689" s="2" t="str">
        <f t="shared" si="165"/>
        <v>Normal</v>
      </c>
      <c r="N1689" s="2" t="str">
        <f t="shared" si="166"/>
        <v>No</v>
      </c>
    </row>
    <row r="1690" spans="1:14" x14ac:dyDescent="0.25">
      <c r="A1690" s="3">
        <v>45995</v>
      </c>
      <c r="B1690" s="4">
        <v>2025</v>
      </c>
      <c r="C1690" s="5">
        <v>2930</v>
      </c>
      <c r="D1690" s="5">
        <v>2950</v>
      </c>
      <c r="E1690" s="5">
        <v>2900</v>
      </c>
      <c r="F1690" s="5">
        <v>2900</v>
      </c>
      <c r="G1690" s="5">
        <v>2900</v>
      </c>
      <c r="H1690" s="6">
        <v>51907700</v>
      </c>
      <c r="I1690" s="22" t="str">
        <f t="shared" si="167"/>
        <v>-</v>
      </c>
      <c r="J1690" s="7">
        <f>(F1690-F1689)/F1689*100</f>
        <v>-0.68493150684931503</v>
      </c>
      <c r="K1690" s="7">
        <f>(H1690-H1689)/H1689*100</f>
        <v>-19.42600710311941</v>
      </c>
      <c r="L1690" s="2" t="str">
        <f t="shared" si="164"/>
        <v>Normal</v>
      </c>
      <c r="M1690" s="2" t="str">
        <f t="shared" si="165"/>
        <v>Normal</v>
      </c>
      <c r="N1690" s="2" t="str">
        <f t="shared" si="166"/>
        <v>No</v>
      </c>
    </row>
    <row r="1691" spans="1:14" x14ac:dyDescent="0.25">
      <c r="A1691" s="3">
        <v>45996</v>
      </c>
      <c r="B1691" s="4">
        <v>2025</v>
      </c>
      <c r="C1691" s="5">
        <v>2910</v>
      </c>
      <c r="D1691" s="5">
        <v>2940</v>
      </c>
      <c r="E1691" s="5">
        <v>2900</v>
      </c>
      <c r="F1691" s="5">
        <v>2910</v>
      </c>
      <c r="G1691" s="5">
        <v>2910</v>
      </c>
      <c r="H1691" s="6">
        <v>45650000</v>
      </c>
      <c r="I1691" s="22" t="str">
        <f t="shared" si="167"/>
        <v>+</v>
      </c>
      <c r="J1691" s="7">
        <f>(F1691-F1690)/F1690*100</f>
        <v>0.34482758620689657</v>
      </c>
      <c r="K1691" s="7">
        <f>(H1691-H1690)/H1690*100</f>
        <v>-12.055436861968454</v>
      </c>
      <c r="L1691" s="2" t="str">
        <f t="shared" si="164"/>
        <v>Normal</v>
      </c>
      <c r="M1691" s="2" t="str">
        <f t="shared" si="165"/>
        <v>Normal</v>
      </c>
      <c r="N1691" s="2" t="str">
        <f t="shared" si="166"/>
        <v>No</v>
      </c>
    </row>
    <row r="1692" spans="1:14" x14ac:dyDescent="0.25">
      <c r="A1692" s="3">
        <v>45999</v>
      </c>
      <c r="B1692" s="4">
        <v>2025</v>
      </c>
      <c r="C1692" s="5">
        <v>2920</v>
      </c>
      <c r="D1692" s="5">
        <v>2990</v>
      </c>
      <c r="E1692" s="5">
        <v>2920</v>
      </c>
      <c r="F1692" s="5">
        <v>2970</v>
      </c>
      <c r="G1692" s="5">
        <v>2970</v>
      </c>
      <c r="H1692" s="6">
        <v>59521000</v>
      </c>
      <c r="I1692" s="22" t="str">
        <f t="shared" si="167"/>
        <v>+</v>
      </c>
      <c r="J1692" s="7">
        <f>(F1692-F1691)/F1691*100</f>
        <v>2.0618556701030926</v>
      </c>
      <c r="K1692" s="7">
        <f>(H1692-H1691)/H1691*100</f>
        <v>30.3855421686747</v>
      </c>
      <c r="L1692" s="2" t="str">
        <f t="shared" si="164"/>
        <v>Normal</v>
      </c>
      <c r="M1692" s="2" t="str">
        <f t="shared" si="165"/>
        <v>Normal</v>
      </c>
      <c r="N1692" s="2" t="str">
        <f t="shared" si="166"/>
        <v>No</v>
      </c>
    </row>
    <row r="1693" spans="1:14" x14ac:dyDescent="0.25">
      <c r="A1693" s="3">
        <v>46000</v>
      </c>
      <c r="B1693" s="4">
        <v>2025</v>
      </c>
      <c r="C1693" s="5">
        <v>2980</v>
      </c>
      <c r="D1693" s="5">
        <v>2990</v>
      </c>
      <c r="E1693" s="5">
        <v>2910</v>
      </c>
      <c r="F1693" s="5">
        <v>2920</v>
      </c>
      <c r="G1693" s="5">
        <v>2920</v>
      </c>
      <c r="H1693" s="6">
        <v>48402900</v>
      </c>
      <c r="I1693" s="22" t="str">
        <f t="shared" si="167"/>
        <v>-</v>
      </c>
      <c r="J1693" s="7">
        <f>(F1693-F1692)/F1692*100</f>
        <v>-1.6835016835016834</v>
      </c>
      <c r="K1693" s="7">
        <f>(H1693-H1692)/H1692*100</f>
        <v>-18.679289662472069</v>
      </c>
      <c r="L1693" s="2" t="str">
        <f t="shared" si="164"/>
        <v>Normal</v>
      </c>
      <c r="M1693" s="2" t="str">
        <f t="shared" si="165"/>
        <v>Normal</v>
      </c>
      <c r="N1693" s="2" t="str">
        <f t="shared" si="166"/>
        <v>No</v>
      </c>
    </row>
    <row r="1694" spans="1:14" x14ac:dyDescent="0.25">
      <c r="A1694" s="3">
        <v>46001</v>
      </c>
      <c r="B1694" s="4">
        <v>2025</v>
      </c>
      <c r="C1694" s="5">
        <v>2950</v>
      </c>
      <c r="D1694" s="5">
        <v>2950</v>
      </c>
      <c r="E1694" s="5">
        <v>2910</v>
      </c>
      <c r="F1694" s="5">
        <v>2930</v>
      </c>
      <c r="G1694" s="5">
        <v>2930</v>
      </c>
      <c r="H1694" s="6">
        <v>50602100</v>
      </c>
      <c r="I1694" s="22" t="str">
        <f t="shared" si="167"/>
        <v>+</v>
      </c>
      <c r="J1694" s="7">
        <f>(F1694-F1693)/F1693*100</f>
        <v>0.34246575342465752</v>
      </c>
      <c r="K1694" s="7">
        <f>(H1694-H1693)/H1693*100</f>
        <v>4.5435294166258631</v>
      </c>
      <c r="L1694" s="2" t="str">
        <f t="shared" si="164"/>
        <v>Normal</v>
      </c>
      <c r="M1694" s="2" t="str">
        <f t="shared" si="165"/>
        <v>Normal</v>
      </c>
      <c r="N1694" s="2" t="str">
        <f t="shared" si="166"/>
        <v>No</v>
      </c>
    </row>
    <row r="1695" spans="1:14" x14ac:dyDescent="0.25">
      <c r="A1695" s="3">
        <v>46002</v>
      </c>
      <c r="B1695" s="4">
        <v>2025</v>
      </c>
      <c r="C1695" s="5">
        <v>2950</v>
      </c>
      <c r="D1695" s="5">
        <v>2980</v>
      </c>
      <c r="E1695" s="5">
        <v>2870</v>
      </c>
      <c r="F1695" s="5">
        <v>2890</v>
      </c>
      <c r="G1695" s="5">
        <v>2890</v>
      </c>
      <c r="H1695" s="6">
        <v>95234500</v>
      </c>
      <c r="I1695" s="22" t="str">
        <f t="shared" si="167"/>
        <v>-</v>
      </c>
      <c r="J1695" s="7">
        <f>(F1695-F1694)/F1694*100</f>
        <v>-1.3651877133105803</v>
      </c>
      <c r="K1695" s="7">
        <f>(H1695-H1694)/H1694*100</f>
        <v>88.202663525822061</v>
      </c>
      <c r="L1695" s="2" t="str">
        <f t="shared" si="164"/>
        <v>Normal</v>
      </c>
      <c r="M1695" s="2" t="str">
        <f t="shared" si="165"/>
        <v>Normal</v>
      </c>
      <c r="N1695" s="2" t="str">
        <f t="shared" si="166"/>
        <v>No</v>
      </c>
    </row>
    <row r="1696" spans="1:14" x14ac:dyDescent="0.25">
      <c r="A1696" s="3">
        <v>46003</v>
      </c>
      <c r="B1696" s="4">
        <v>2025</v>
      </c>
      <c r="C1696" s="5">
        <v>2910</v>
      </c>
      <c r="D1696" s="5">
        <v>3130</v>
      </c>
      <c r="E1696" s="5">
        <v>2900</v>
      </c>
      <c r="F1696" s="5">
        <v>3050</v>
      </c>
      <c r="G1696" s="5">
        <v>3050</v>
      </c>
      <c r="H1696" s="6">
        <v>304157500</v>
      </c>
      <c r="I1696" s="22" t="str">
        <f t="shared" si="167"/>
        <v>+</v>
      </c>
      <c r="J1696" s="7">
        <f>(F1696-F1695)/F1695*100</f>
        <v>5.5363321799307963</v>
      </c>
      <c r="K1696" s="7">
        <f>(H1696-H1695)/H1695*100</f>
        <v>219.37743149803904</v>
      </c>
      <c r="L1696" s="2" t="str">
        <f t="shared" si="164"/>
        <v>Sharp Price Increase</v>
      </c>
      <c r="M1696" s="2" t="str">
        <f t="shared" si="165"/>
        <v>Sharp Volume Increase</v>
      </c>
      <c r="N1696" s="2" t="str">
        <f t="shared" si="166"/>
        <v>Yes</v>
      </c>
    </row>
    <row r="1697" spans="1:14" x14ac:dyDescent="0.25">
      <c r="A1697" s="3">
        <v>46006</v>
      </c>
      <c r="B1697" s="4">
        <v>2025</v>
      </c>
      <c r="C1697" s="5">
        <v>3110</v>
      </c>
      <c r="D1697" s="5">
        <v>3130</v>
      </c>
      <c r="E1697" s="5">
        <v>2980</v>
      </c>
      <c r="F1697" s="5">
        <v>3030</v>
      </c>
      <c r="G1697" s="5">
        <v>3030</v>
      </c>
      <c r="H1697" s="6">
        <v>211858600</v>
      </c>
      <c r="I1697" s="22" t="str">
        <f t="shared" si="167"/>
        <v>-</v>
      </c>
      <c r="J1697" s="7">
        <f>(F1697-F1696)/F1696*100</f>
        <v>-0.65573770491803274</v>
      </c>
      <c r="K1697" s="7">
        <f>(H1697-H1696)/H1696*100</f>
        <v>-30.345758365320595</v>
      </c>
      <c r="L1697" s="2" t="str">
        <f t="shared" si="164"/>
        <v>Normal</v>
      </c>
      <c r="M1697" s="2" t="str">
        <f t="shared" si="165"/>
        <v>Normal</v>
      </c>
      <c r="N1697" s="2" t="str">
        <f t="shared" si="166"/>
        <v>No</v>
      </c>
    </row>
    <row r="1698" spans="1:14" x14ac:dyDescent="0.25">
      <c r="A1698" s="3">
        <v>46007</v>
      </c>
      <c r="B1698" s="4">
        <v>2025</v>
      </c>
      <c r="C1698" s="5">
        <v>3030</v>
      </c>
      <c r="D1698" s="5">
        <v>3040</v>
      </c>
      <c r="E1698" s="5">
        <v>2960</v>
      </c>
      <c r="F1698" s="5">
        <v>2970</v>
      </c>
      <c r="G1698" s="5">
        <v>2970</v>
      </c>
      <c r="H1698" s="6">
        <v>91357800</v>
      </c>
      <c r="I1698" s="22" t="str">
        <f t="shared" si="167"/>
        <v>-</v>
      </c>
      <c r="J1698" s="7">
        <f>(F1698-F1697)/F1697*100</f>
        <v>-1.9801980198019802</v>
      </c>
      <c r="K1698" s="7">
        <f>(H1698-H1697)/H1697*100</f>
        <v>-56.877936510483885</v>
      </c>
      <c r="L1698" s="2" t="str">
        <f t="shared" si="164"/>
        <v>Normal</v>
      </c>
      <c r="M1698" s="2" t="str">
        <f t="shared" si="165"/>
        <v>Normal</v>
      </c>
      <c r="N1698" s="2" t="str">
        <f t="shared" si="166"/>
        <v>No</v>
      </c>
    </row>
    <row r="1699" spans="1:14" x14ac:dyDescent="0.25">
      <c r="A1699" s="3">
        <v>46008</v>
      </c>
      <c r="B1699" s="4">
        <v>2025</v>
      </c>
      <c r="C1699" s="5">
        <v>2990</v>
      </c>
      <c r="D1699" s="5">
        <v>3090</v>
      </c>
      <c r="E1699" s="5">
        <v>2990</v>
      </c>
      <c r="F1699" s="5">
        <v>3020</v>
      </c>
      <c r="G1699" s="5">
        <v>3020</v>
      </c>
      <c r="H1699" s="6">
        <v>107358300</v>
      </c>
      <c r="I1699" s="22" t="str">
        <f t="shared" si="167"/>
        <v>+</v>
      </c>
      <c r="J1699" s="7">
        <f>(F1699-F1698)/F1698*100</f>
        <v>1.6835016835016834</v>
      </c>
      <c r="K1699" s="7">
        <f>(H1699-H1698)/H1698*100</f>
        <v>17.514103886039287</v>
      </c>
      <c r="L1699" s="2" t="str">
        <f t="shared" si="164"/>
        <v>Normal</v>
      </c>
      <c r="M1699" s="2" t="str">
        <f t="shared" si="165"/>
        <v>Normal</v>
      </c>
      <c r="N1699" s="2" t="str">
        <f t="shared" si="166"/>
        <v>No</v>
      </c>
    </row>
    <row r="1700" spans="1:14" x14ac:dyDescent="0.25">
      <c r="A1700" s="3">
        <v>46009</v>
      </c>
      <c r="B1700" s="4">
        <v>2025</v>
      </c>
      <c r="C1700" s="5">
        <v>3040</v>
      </c>
      <c r="D1700" s="5">
        <v>3110</v>
      </c>
      <c r="E1700" s="5">
        <v>3020</v>
      </c>
      <c r="F1700" s="5">
        <v>3110</v>
      </c>
      <c r="G1700" s="5">
        <v>3110</v>
      </c>
      <c r="H1700" s="6">
        <v>143068000</v>
      </c>
      <c r="I1700" s="22" t="str">
        <f t="shared" si="167"/>
        <v>+</v>
      </c>
      <c r="J1700" s="7">
        <f>(F1700-F1699)/F1699*100</f>
        <v>2.9801324503311259</v>
      </c>
      <c r="K1700" s="7">
        <f>(H1700-H1699)/H1699*100</f>
        <v>33.262169762375152</v>
      </c>
      <c r="L1700" s="2" t="str">
        <f t="shared" si="164"/>
        <v>Normal</v>
      </c>
      <c r="M1700" s="2" t="str">
        <f t="shared" si="165"/>
        <v>Normal</v>
      </c>
      <c r="N1700" s="2" t="str">
        <f t="shared" si="166"/>
        <v>No</v>
      </c>
    </row>
    <row r="1701" spans="1:14" x14ac:dyDescent="0.25">
      <c r="A1701" s="3">
        <v>46010</v>
      </c>
      <c r="B1701" s="4">
        <v>2025</v>
      </c>
      <c r="C1701" s="5">
        <v>3120</v>
      </c>
      <c r="D1701" s="5">
        <v>3230</v>
      </c>
      <c r="E1701" s="5">
        <v>3050</v>
      </c>
      <c r="F1701" s="5">
        <v>3070</v>
      </c>
      <c r="G1701" s="5">
        <v>3070</v>
      </c>
      <c r="H1701" s="6">
        <v>272901900</v>
      </c>
      <c r="I1701" s="22" t="str">
        <f t="shared" si="167"/>
        <v>-</v>
      </c>
      <c r="J1701" s="7">
        <f>(F1701-F1700)/F1700*100</f>
        <v>-1.2861736334405145</v>
      </c>
      <c r="K1701" s="7">
        <f>(H1701-H1700)/H1700*100</f>
        <v>90.74978331981994</v>
      </c>
      <c r="L1701" s="2" t="str">
        <f t="shared" si="164"/>
        <v>Normal</v>
      </c>
      <c r="M1701" s="2" t="str">
        <f t="shared" si="165"/>
        <v>Normal</v>
      </c>
      <c r="N1701" s="2" t="str">
        <f t="shared" si="166"/>
        <v>No</v>
      </c>
    </row>
    <row r="1702" spans="1:14" x14ac:dyDescent="0.25">
      <c r="A1702" s="3">
        <v>46013</v>
      </c>
      <c r="B1702" s="4">
        <v>2025</v>
      </c>
      <c r="C1702" s="5">
        <v>3110</v>
      </c>
      <c r="D1702" s="5">
        <v>3220</v>
      </c>
      <c r="E1702" s="5">
        <v>3110</v>
      </c>
      <c r="F1702" s="5">
        <v>3190</v>
      </c>
      <c r="G1702" s="5">
        <v>3190</v>
      </c>
      <c r="H1702" s="6">
        <v>263625800</v>
      </c>
      <c r="I1702" s="22" t="str">
        <f t="shared" si="167"/>
        <v>+</v>
      </c>
      <c r="J1702" s="7">
        <f>(F1702-F1701)/F1701*100</f>
        <v>3.9087947882736152</v>
      </c>
      <c r="K1702" s="7">
        <f>(H1702-H1701)/H1701*100</f>
        <v>-3.3990602483896231</v>
      </c>
      <c r="L1702" s="2" t="str">
        <f t="shared" si="164"/>
        <v>Normal</v>
      </c>
      <c r="M1702" s="2" t="str">
        <f t="shared" si="165"/>
        <v>Normal</v>
      </c>
      <c r="N1702" s="2" t="str">
        <f t="shared" si="166"/>
        <v>No</v>
      </c>
    </row>
    <row r="1703" spans="1:14" x14ac:dyDescent="0.25">
      <c r="A1703" s="3">
        <v>46014</v>
      </c>
      <c r="B1703" s="4">
        <v>2025</v>
      </c>
      <c r="C1703" s="5">
        <v>3250</v>
      </c>
      <c r="D1703" s="5">
        <v>3260</v>
      </c>
      <c r="E1703" s="5">
        <v>3170</v>
      </c>
      <c r="F1703" s="5">
        <v>3190</v>
      </c>
      <c r="G1703" s="5">
        <v>3190</v>
      </c>
      <c r="H1703" s="6">
        <v>178083800</v>
      </c>
      <c r="I1703" s="22" t="str">
        <f t="shared" si="167"/>
        <v>0</v>
      </c>
      <c r="J1703" s="7">
        <f>(F1703-F1702)/F1702*100</f>
        <v>0</v>
      </c>
      <c r="K1703" s="7">
        <f>(H1703-H1702)/H1702*100</f>
        <v>-32.448265685680234</v>
      </c>
      <c r="L1703" s="2" t="str">
        <f t="shared" si="164"/>
        <v>Normal</v>
      </c>
      <c r="M1703" s="2" t="str">
        <f t="shared" si="165"/>
        <v>Normal</v>
      </c>
      <c r="N1703" s="2" t="str">
        <f t="shared" si="166"/>
        <v>No</v>
      </c>
    </row>
    <row r="1704" spans="1:14" x14ac:dyDescent="0.25">
      <c r="A1704" s="3">
        <v>46015</v>
      </c>
      <c r="B1704" s="4">
        <v>2025</v>
      </c>
      <c r="C1704" s="5">
        <v>3240</v>
      </c>
      <c r="D1704" s="5">
        <v>3290</v>
      </c>
      <c r="E1704" s="5">
        <v>3180</v>
      </c>
      <c r="F1704" s="5">
        <v>3220</v>
      </c>
      <c r="G1704" s="5">
        <v>3220</v>
      </c>
      <c r="H1704" s="6">
        <v>219895200</v>
      </c>
      <c r="I1704" s="22" t="str">
        <f t="shared" si="167"/>
        <v>+</v>
      </c>
      <c r="J1704" s="7">
        <f>(F1704-F1703)/F1703*100</f>
        <v>0.94043887147335425</v>
      </c>
      <c r="K1704" s="7">
        <f>(H1704-H1703)/H1703*100</f>
        <v>23.478497201879115</v>
      </c>
      <c r="L1704" s="2" t="str">
        <f t="shared" si="164"/>
        <v>Normal</v>
      </c>
      <c r="M1704" s="2" t="str">
        <f t="shared" si="165"/>
        <v>Normal</v>
      </c>
      <c r="N1704" s="2" t="str">
        <f t="shared" si="166"/>
        <v>No</v>
      </c>
    </row>
    <row r="1705" spans="1:14" x14ac:dyDescent="0.25">
      <c r="A1705" s="3">
        <v>46020</v>
      </c>
      <c r="B1705" s="4">
        <v>2025</v>
      </c>
      <c r="C1705" s="5">
        <v>3240</v>
      </c>
      <c r="D1705" s="5">
        <v>3420</v>
      </c>
      <c r="E1705" s="5">
        <v>3240</v>
      </c>
      <c r="F1705" s="5">
        <v>3300</v>
      </c>
      <c r="G1705" s="5">
        <v>3300</v>
      </c>
      <c r="H1705" s="6">
        <v>283900400</v>
      </c>
      <c r="I1705" s="22" t="str">
        <f t="shared" si="167"/>
        <v>+</v>
      </c>
      <c r="J1705" s="7">
        <f>(F1705-F1704)/F1704*100</f>
        <v>2.4844720496894408</v>
      </c>
      <c r="K1705" s="7">
        <f>(H1705-H1704)/H1704*100</f>
        <v>29.107138309521989</v>
      </c>
      <c r="L1705" s="2" t="str">
        <f t="shared" si="164"/>
        <v>Normal</v>
      </c>
      <c r="M1705" s="2" t="str">
        <f t="shared" si="165"/>
        <v>Normal</v>
      </c>
      <c r="N1705" s="2" t="str">
        <f t="shared" si="166"/>
        <v>No</v>
      </c>
    </row>
    <row r="1706" spans="1:14" x14ac:dyDescent="0.25">
      <c r="A1706" s="3">
        <v>46021</v>
      </c>
      <c r="B1706" s="4">
        <v>2025</v>
      </c>
      <c r="C1706" s="5">
        <v>3270</v>
      </c>
      <c r="D1706" s="5">
        <v>3270</v>
      </c>
      <c r="E1706" s="5">
        <v>3130</v>
      </c>
      <c r="F1706" s="5">
        <v>3150</v>
      </c>
      <c r="G1706" s="5">
        <v>3150</v>
      </c>
      <c r="H1706" s="6">
        <v>209417500</v>
      </c>
      <c r="I1706" s="22" t="str">
        <f t="shared" si="167"/>
        <v>-</v>
      </c>
      <c r="J1706" s="7">
        <f>(F1706-F1705)/F1705*100</f>
        <v>-4.5454545454545459</v>
      </c>
      <c r="K1706" s="7">
        <f>(H1706-H1705)/H1705*100</f>
        <v>-26.235574166151228</v>
      </c>
      <c r="L1706" s="2" t="str">
        <f t="shared" si="164"/>
        <v>Sharp Price Decrease</v>
      </c>
      <c r="M1706" s="2" t="str">
        <f t="shared" si="165"/>
        <v>Normal</v>
      </c>
      <c r="N1706" s="2" t="str">
        <f t="shared" si="166"/>
        <v>No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 gio</cp:lastModifiedBy>
  <dcterms:created xsi:type="dcterms:W3CDTF">2026-05-31T08:40:58Z</dcterms:created>
  <dcterms:modified xsi:type="dcterms:W3CDTF">2026-05-31T12:33:29Z</dcterms:modified>
</cp:coreProperties>
</file>